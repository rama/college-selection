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5"/>
  <workbookPr/>
  <xr:revisionPtr revIDLastSave="0" documentId="8_{B024B23D-E91F-446E-B540-1501ED7A5FD4}" xr6:coauthVersionLast="47" xr6:coauthVersionMax="47" xr10:uidLastSave="{00000000-0000-0000-0000-000000000000}"/>
  <bookViews>
    <workbookView xWindow="240" yWindow="105" windowWidth="14805" windowHeight="8010" firstSheet="1" activeTab="2" xr2:uid="{00000000-000D-0000-FFFF-FFFF00000000}"/>
  </bookViews>
  <sheets>
    <sheet name="Crime" sheetId="2" r:id="rId1"/>
    <sheet name="Colleges" sheetId="1" r:id="rId2"/>
    <sheet name="Results" sheetId="3" r:id="rId3"/>
  </sheets>
  <definedNames>
    <definedName name="_xlnm._FilterDatabase" localSheetId="1" hidden="1">Colleges!$E$1:$E$32</definedName>
    <definedName name="_xlnm._FilterDatabase" localSheetId="2" hidden="1">Results!$E$1:$E$11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3" i="2" l="1"/>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2"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2" i="2"/>
  <c r="E11" i="3" l="1"/>
  <c r="E9" i="3"/>
  <c r="E10" i="3"/>
  <c r="E8" i="3"/>
  <c r="E7" i="3"/>
  <c r="E4" i="3"/>
  <c r="E3" i="3"/>
  <c r="E2" i="3"/>
  <c r="E5" i="3" l="1"/>
  <c r="E6"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4">
    <bk>
      <extLst>
        <ext uri="{3e2802c4-a4d2-4d8b-9148-e3be6c30e623}">
          <xlrd:rvb i="0"/>
        </ext>
      </extLst>
    </bk>
    <bk>
      <extLst>
        <ext uri="{3e2802c4-a4d2-4d8b-9148-e3be6c30e623}">
          <xlrd:rvb i="14"/>
        </ext>
      </extLst>
    </bk>
    <bk>
      <extLst>
        <ext uri="{3e2802c4-a4d2-4d8b-9148-e3be6c30e623}">
          <xlrd:rvb i="27"/>
        </ext>
      </extLst>
    </bk>
    <bk>
      <extLst>
        <ext uri="{3e2802c4-a4d2-4d8b-9148-e3be6c30e623}">
          <xlrd:rvb i="41"/>
        </ext>
      </extLst>
    </bk>
    <bk>
      <extLst>
        <ext uri="{3e2802c4-a4d2-4d8b-9148-e3be6c30e623}">
          <xlrd:rvb i="54"/>
        </ext>
      </extLst>
    </bk>
    <bk>
      <extLst>
        <ext uri="{3e2802c4-a4d2-4d8b-9148-e3be6c30e623}">
          <xlrd:rvb i="67"/>
        </ext>
      </extLst>
    </bk>
    <bk>
      <extLst>
        <ext uri="{3e2802c4-a4d2-4d8b-9148-e3be6c30e623}">
          <xlrd:rvb i="79"/>
        </ext>
      </extLst>
    </bk>
    <bk>
      <extLst>
        <ext uri="{3e2802c4-a4d2-4d8b-9148-e3be6c30e623}">
          <xlrd:rvb i="87"/>
        </ext>
      </extLst>
    </bk>
    <bk>
      <extLst>
        <ext uri="{3e2802c4-a4d2-4d8b-9148-e3be6c30e623}">
          <xlrd:rvb i="99"/>
        </ext>
      </extLst>
    </bk>
    <bk>
      <extLst>
        <ext uri="{3e2802c4-a4d2-4d8b-9148-e3be6c30e623}">
          <xlrd:rvb i="112"/>
        </ext>
      </extLst>
    </bk>
    <bk>
      <extLst>
        <ext uri="{3e2802c4-a4d2-4d8b-9148-e3be6c30e623}">
          <xlrd:rvb i="124"/>
        </ext>
      </extLst>
    </bk>
    <bk>
      <extLst>
        <ext uri="{3e2802c4-a4d2-4d8b-9148-e3be6c30e623}">
          <xlrd:rvb i="136"/>
        </ext>
      </extLst>
    </bk>
    <bk>
      <extLst>
        <ext uri="{3e2802c4-a4d2-4d8b-9148-e3be6c30e623}">
          <xlrd:rvb i="148"/>
        </ext>
      </extLst>
    </bk>
    <bk>
      <extLst>
        <ext uri="{3e2802c4-a4d2-4d8b-9148-e3be6c30e623}">
          <xlrd:rvb i="160"/>
        </ext>
      </extLst>
    </bk>
    <bk>
      <extLst>
        <ext uri="{3e2802c4-a4d2-4d8b-9148-e3be6c30e623}">
          <xlrd:rvb i="179"/>
        </ext>
      </extLst>
    </bk>
    <bk>
      <extLst>
        <ext uri="{3e2802c4-a4d2-4d8b-9148-e3be6c30e623}">
          <xlrd:rvb i="190"/>
        </ext>
      </extLst>
    </bk>
    <bk>
      <extLst>
        <ext uri="{3e2802c4-a4d2-4d8b-9148-e3be6c30e623}">
          <xlrd:rvb i="202"/>
        </ext>
      </extLst>
    </bk>
    <bk>
      <extLst>
        <ext uri="{3e2802c4-a4d2-4d8b-9148-e3be6c30e623}">
          <xlrd:rvb i="214"/>
        </ext>
      </extLst>
    </bk>
    <bk>
      <extLst>
        <ext uri="{3e2802c4-a4d2-4d8b-9148-e3be6c30e623}">
          <xlrd:rvb i="225"/>
        </ext>
      </extLst>
    </bk>
    <bk>
      <extLst>
        <ext uri="{3e2802c4-a4d2-4d8b-9148-e3be6c30e623}">
          <xlrd:rvb i="237"/>
        </ext>
      </extLst>
    </bk>
    <bk>
      <extLst>
        <ext uri="{3e2802c4-a4d2-4d8b-9148-e3be6c30e623}">
          <xlrd:rvb i="249"/>
        </ext>
      </extLst>
    </bk>
    <bk>
      <extLst>
        <ext uri="{3e2802c4-a4d2-4d8b-9148-e3be6c30e623}">
          <xlrd:rvb i="260"/>
        </ext>
      </extLst>
    </bk>
    <bk>
      <extLst>
        <ext uri="{3e2802c4-a4d2-4d8b-9148-e3be6c30e623}">
          <xlrd:rvb i="272"/>
        </ext>
      </extLst>
    </bk>
    <bk>
      <extLst>
        <ext uri="{3e2802c4-a4d2-4d8b-9148-e3be6c30e623}">
          <xlrd:rvb i="283"/>
        </ext>
      </extLst>
    </bk>
    <bk>
      <extLst>
        <ext uri="{3e2802c4-a4d2-4d8b-9148-e3be6c30e623}">
          <xlrd:rvb i="295"/>
        </ext>
      </extLst>
    </bk>
    <bk>
      <extLst>
        <ext uri="{3e2802c4-a4d2-4d8b-9148-e3be6c30e623}">
          <xlrd:rvb i="305"/>
        </ext>
      </extLst>
    </bk>
    <bk>
      <extLst>
        <ext uri="{3e2802c4-a4d2-4d8b-9148-e3be6c30e623}">
          <xlrd:rvb i="316"/>
        </ext>
      </extLst>
    </bk>
    <bk>
      <extLst>
        <ext uri="{3e2802c4-a4d2-4d8b-9148-e3be6c30e623}">
          <xlrd:rvb i="331"/>
        </ext>
      </extLst>
    </bk>
    <bk>
      <extLst>
        <ext uri="{3e2802c4-a4d2-4d8b-9148-e3be6c30e623}">
          <xlrd:rvb i="342"/>
        </ext>
      </extLst>
    </bk>
    <bk>
      <extLst>
        <ext uri="{3e2802c4-a4d2-4d8b-9148-e3be6c30e623}">
          <xlrd:rvb i="353"/>
        </ext>
      </extLst>
    </bk>
    <bk>
      <extLst>
        <ext uri="{3e2802c4-a4d2-4d8b-9148-e3be6c30e623}">
          <xlrd:rvb i="363"/>
        </ext>
      </extLst>
    </bk>
    <bk>
      <extLst>
        <ext uri="{3e2802c4-a4d2-4d8b-9148-e3be6c30e623}">
          <xlrd:rvb i="374"/>
        </ext>
      </extLst>
    </bk>
    <bk>
      <extLst>
        <ext uri="{3e2802c4-a4d2-4d8b-9148-e3be6c30e623}">
          <xlrd:rvb i="385"/>
        </ext>
      </extLst>
    </bk>
    <bk>
      <extLst>
        <ext uri="{3e2802c4-a4d2-4d8b-9148-e3be6c30e623}">
          <xlrd:rvb i="397"/>
        </ext>
      </extLst>
    </bk>
  </futureMetadata>
  <valueMetadata count="34">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valueMetadata>
</metadata>
</file>

<file path=xl/sharedStrings.xml><?xml version="1.0" encoding="utf-8"?>
<sst xmlns="http://schemas.openxmlformats.org/spreadsheetml/2006/main" count="132" uniqueCount="97">
  <si>
    <t>City</t>
  </si>
  <si>
    <t>Violent Crime</t>
  </si>
  <si>
    <t>Violent Crime Percentile</t>
  </si>
  <si>
    <t>Murder</t>
  </si>
  <si>
    <t>Murder Percentile</t>
  </si>
  <si>
    <t>Robbery</t>
  </si>
  <si>
    <t>Roberry Percentile</t>
  </si>
  <si>
    <t>Property Crime</t>
  </si>
  <si>
    <t>Property Crime Percentile</t>
  </si>
  <si>
    <t>Burglary</t>
  </si>
  <si>
    <t>Burglary Percentile</t>
  </si>
  <si>
    <t>Theft</t>
  </si>
  <si>
    <t>Theft Percentile</t>
  </si>
  <si>
    <t>Motor VehicleTheft</t>
  </si>
  <si>
    <t>Motor VehicleTheft Percentile</t>
  </si>
  <si>
    <t>Crime Rate Percentile</t>
  </si>
  <si>
    <t>UID</t>
  </si>
  <si>
    <t>Rank</t>
  </si>
  <si>
    <t>University</t>
  </si>
  <si>
    <t>Courses</t>
  </si>
  <si>
    <t>Academic Score</t>
  </si>
  <si>
    <t>Staff/Teacher Ratio</t>
  </si>
  <si>
    <t>Citation Index</t>
  </si>
  <si>
    <t>NPCURL</t>
  </si>
  <si>
    <t>Cornell University</t>
  </si>
  <si>
    <t>IT,Management</t>
  </si>
  <si>
    <t>galileo.aamu.edu/netpricecalculator/npcalc.htm</t>
  </si>
  <si>
    <t>University of Washington</t>
  </si>
  <si>
    <t>IT</t>
  </si>
  <si>
    <t>www.collegeportraits.org/AL/UAB/estimator/agree</t>
  </si>
  <si>
    <t>Columbia University in the City of New York</t>
  </si>
  <si>
    <t>Management</t>
  </si>
  <si>
    <t>tcc.noellevitz.com/(S(miwoihs5stz5cpyifh4nczu0))/Amridge%20University/Freshman-Students</t>
  </si>
  <si>
    <t>University of Minnesota-Twin Cities</t>
  </si>
  <si>
    <t>Medical</t>
  </si>
  <si>
    <t>finaid.uah.edu/</t>
  </si>
  <si>
    <t>University of Pennsylvania</t>
  </si>
  <si>
    <t>Architecture</t>
  </si>
  <si>
    <t>www.alasu.edu/cost-aid/forms/calculator/index.aspx/</t>
  </si>
  <si>
    <t>University of California, Los Angeles</t>
  </si>
  <si>
    <t>Architecture,Arts,IT</t>
  </si>
  <si>
    <t>oira.ua.edu</t>
  </si>
  <si>
    <t>Yale University</t>
  </si>
  <si>
    <t>www.cacc.edu/graphics/netpricecalculator/npcalc.htm</t>
  </si>
  <si>
    <t>University of Wisconsin-Madison</t>
  </si>
  <si>
    <t>24.athens.edu/apex/prod8/f?p=174:1:3941357449598491</t>
  </si>
  <si>
    <t>New York University</t>
  </si>
  <si>
    <t>IT,Medical,Arts</t>
  </si>
  <si>
    <t>www.aum.edu/admissions/financial-information/price-estimator-calculator</t>
  </si>
  <si>
    <t>Princeton University</t>
  </si>
  <si>
    <t>www.auburn.edu/admissions/money-matters.html</t>
  </si>
  <si>
    <t>University of Southern California</t>
  </si>
  <si>
    <t>www.bsc.edu/fp/np-calculator.cfm</t>
  </si>
  <si>
    <t>Carnegie Mellon University</t>
  </si>
  <si>
    <t>external.cv.edu/npc/npcalc.htm</t>
  </si>
  <si>
    <t>Michigan State University</t>
  </si>
  <si>
    <t>www.ccal.edu/netprice/netprice/</t>
  </si>
  <si>
    <t>University of California, San Diego</t>
  </si>
  <si>
    <t>tcc.noellevitz.com/edmc/Transfer-Students?iframe=true&amp;width=600&amp;height=1000</t>
  </si>
  <si>
    <t>University of Florida</t>
  </si>
  <si>
    <t>www.escc.edu/NetPrice/npcalc.htm</t>
  </si>
  <si>
    <t>University of California, Irvine</t>
  </si>
  <si>
    <t>www.faulknerstate.edu</t>
  </si>
  <si>
    <t>Duke University</t>
  </si>
  <si>
    <t>Electronics,IT,Biomedical</t>
  </si>
  <si>
    <t>www.gadsdenstate.edu/netpricecalculator/</t>
  </si>
  <si>
    <t>North Carolina State University</t>
  </si>
  <si>
    <t>www.wccs.edu/index.php?page=npc.html</t>
  </si>
  <si>
    <t>Northwestern University</t>
  </si>
  <si>
    <t>www.nbccosmetology.com/npcalc.htm</t>
  </si>
  <si>
    <t>Rutgers, The State University of New Jersey</t>
  </si>
  <si>
    <t>Arts</t>
  </si>
  <si>
    <t>www.wallace.edu/net_price_calculator.aspx</t>
  </si>
  <si>
    <t>The University of Utah</t>
  </si>
  <si>
    <t>www.wallacestate.edu/Financial-Aid/Net-Price-Calculator/index</t>
  </si>
  <si>
    <t>Rosalind Franklin University of Medicine and Science</t>
  </si>
  <si>
    <t>IT,Architecture</t>
  </si>
  <si>
    <t>www.faulkner.edu/netprice/</t>
  </si>
  <si>
    <t>University of Pittsburgh</t>
  </si>
  <si>
    <t>Medical,Architecture</t>
  </si>
  <si>
    <t>www.herzing.edu/financial-aid/net-price-calculator</t>
  </si>
  <si>
    <t>California Institute of Technology</t>
  </si>
  <si>
    <t>hawk.huntingdon.edu/oiac/netpricecalculator/npcalc.htm</t>
  </si>
  <si>
    <t>University of California, Santa Barbara</t>
  </si>
  <si>
    <t>www.hcu.edu/share/news/npcalc.htm</t>
  </si>
  <si>
    <t>University of Nebraska-Lincoln</t>
  </si>
  <si>
    <t>www.drakestate.edu/admissions/net_price_calculator.aspx</t>
  </si>
  <si>
    <t>Tufts University</t>
  </si>
  <si>
    <t>www.jsu.edu/finaid/</t>
  </si>
  <si>
    <t>University of Oregon</t>
  </si>
  <si>
    <t>www.jdcc.edu/netpricecalculator/</t>
  </si>
  <si>
    <t>Brigham Young University</t>
  </si>
  <si>
    <t>www.jeffstateonline.com/financial/tuition/net-price-calculator/</t>
  </si>
  <si>
    <t>University of Iowa</t>
  </si>
  <si>
    <t>calhoun.studentaidcalculator.com/</t>
  </si>
  <si>
    <t>Washington State University</t>
  </si>
  <si>
    <t>www.judson.edu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</si>
</sst>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0"/>
      <color theme="1"/>
      <name val="Arial"/>
      <scheme val="minor"/>
    </font>
    <font>
      <u/>
      <sz val="10"/>
      <color rgb="FF0000FF"/>
      <name val="Arial"/>
    </font>
    <font>
      <b/>
      <sz val="10"/>
      <color theme="1"/>
      <name val="Arial"/>
      <scheme val="minor"/>
    </font>
    <font>
      <b/>
      <sz val="11"/>
      <color theme="1"/>
      <name val="Aptos Narrow"/>
      <family val="2"/>
      <scheme val="minor"/>
    </font>
    <font>
      <b/>
      <sz val="10"/>
      <color theme="0"/>
      <name val="Arial"/>
      <charset val="1"/>
    </font>
    <font>
      <b/>
      <sz val="10"/>
      <color theme="0"/>
      <name val="Arial"/>
      <scheme val="minor"/>
    </font>
  </fonts>
  <fills count="2">
    <fill>
      <patternFill patternType="none"/>
    </fill>
    <fill>
      <patternFill patternType="gray125"/>
    </fill>
  </fills>
  <borders count="9">
    <border>
      <left/>
      <right/>
      <top/>
      <bottom/>
      <diagonal/>
    </border>
    <border>
      <left/>
      <right/>
      <top style="medium">
        <color rgb="FF000000"/>
      </top>
      <bottom style="medium">
        <color rgb="FF000000"/>
      </bottom>
      <diagonal/>
    </border>
    <border>
      <left style="thin">
        <color rgb="FF000000"/>
      </left>
      <right style="thin">
        <color rgb="FF000000"/>
      </right>
      <top/>
      <bottom/>
      <diagonal/>
    </border>
    <border>
      <left style="thin">
        <color rgb="FF000000"/>
      </left>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thin">
        <color rgb="FF000000"/>
      </right>
      <top/>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3" fillId="0" borderId="0" xfId="0" applyFont="1"/>
    <xf numFmtId="0" fontId="0" fillId="0" borderId="1" xfId="0" applyBorder="1"/>
    <xf numFmtId="0" fontId="1" fillId="0" borderId="2" xfId="0" applyFont="1" applyBorder="1"/>
    <xf numFmtId="4" fontId="1" fillId="0" borderId="2" xfId="0" applyNumberFormat="1" applyFont="1" applyBorder="1"/>
    <xf numFmtId="0" fontId="4" fillId="0" borderId="0" xfId="0" applyFont="1"/>
    <xf numFmtId="0" fontId="1" fillId="0" borderId="2" xfId="0" applyFont="1" applyFill="1" applyBorder="1"/>
    <xf numFmtId="4" fontId="1" fillId="0" borderId="2" xfId="0" applyNumberFormat="1" applyFont="1" applyFill="1" applyBorder="1"/>
    <xf numFmtId="0" fontId="0" fillId="0" borderId="2" xfId="0" applyFill="1" applyBorder="1"/>
    <xf numFmtId="0" fontId="0" fillId="0" borderId="3" xfId="0" applyNumberFormat="1" applyFill="1" applyBorder="1"/>
    <xf numFmtId="0" fontId="3" fillId="0" borderId="4" xfId="0" applyFont="1" applyBorder="1"/>
    <xf numFmtId="0" fontId="3" fillId="0" borderId="5" xfId="0" applyFont="1" applyBorder="1"/>
    <xf numFmtId="0" fontId="3" fillId="0" borderId="5" xfId="0" applyFont="1" applyBorder="1" applyAlignment="1">
      <alignment wrapText="1"/>
    </xf>
    <xf numFmtId="0" fontId="5" fillId="0" borderId="6" xfId="0" applyFont="1" applyBorder="1" applyAlignment="1">
      <alignment wrapText="1"/>
    </xf>
    <xf numFmtId="0" fontId="6" fillId="0" borderId="7" xfId="0" applyFont="1" applyBorder="1"/>
    <xf numFmtId="0" fontId="1" fillId="0" borderId="8" xfId="0" applyFont="1" applyFill="1" applyBorder="1"/>
    <xf numFmtId="0" fontId="1" fillId="0" borderId="8" xfId="0" applyFont="1" applyBorder="1"/>
    <xf numFmtId="0" fontId="0" fillId="0" borderId="3" xfId="0" applyNumberFormat="1" applyFont="1" applyFill="1" applyBorder="1"/>
    <xf numFmtId="0" fontId="0" fillId="0" borderId="3" xfId="0" applyNumberFormat="1" applyBorder="1"/>
    <xf numFmtId="0" fontId="0" fillId="0" borderId="0" xfId="0" applyBorder="1"/>
    <xf numFmtId="0" fontId="3" fillId="0" borderId="8" xfId="0" applyFont="1" applyBorder="1"/>
    <xf numFmtId="0" fontId="3" fillId="0" borderId="2" xfId="0" applyFont="1" applyBorder="1"/>
    <xf numFmtId="0" fontId="6" fillId="0" borderId="3" xfId="0" applyFont="1" applyBorder="1"/>
  </cellXfs>
  <cellStyles count="1">
    <cellStyle name="Normal" xfId="0" builtinId="0"/>
  </cellStyles>
  <dxfs count="36">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border>
        <left style="thin">
          <color rgb="FF000000"/>
        </left>
        <right/>
        <vertical style="thin">
          <color rgb="FF000000"/>
        </vertical>
      </border>
    </dxf>
    <dxf>
      <font>
        <b val="0"/>
        <i val="0"/>
        <strike val="0"/>
        <condense val="0"/>
        <extend val="0"/>
        <outline val="0"/>
        <shadow val="0"/>
        <u val="none"/>
        <vertAlign val="baseline"/>
        <sz val="10"/>
        <color theme="1"/>
        <name val="Arial"/>
        <scheme val="minor"/>
      </font>
      <fill>
        <patternFill patternType="none">
          <fgColor indexed="64"/>
          <bgColor indexed="65"/>
        </patternFill>
      </fill>
      <border>
        <left style="thin">
          <color rgb="FF000000"/>
        </left>
        <right style="thin">
          <color rgb="FF000000"/>
        </right>
        <vertical style="thin">
          <color rgb="FF000000"/>
        </vertical>
      </border>
    </dxf>
    <dxf>
      <font>
        <b val="0"/>
        <i val="0"/>
        <strike val="0"/>
        <condense val="0"/>
        <extend val="0"/>
        <outline val="0"/>
        <shadow val="0"/>
        <u val="none"/>
        <vertAlign val="baseline"/>
        <sz val="10"/>
        <color theme="1"/>
        <name val="Arial"/>
        <scheme val="minor"/>
      </font>
      <fill>
        <patternFill patternType="none">
          <fgColor indexed="64"/>
          <bgColor indexed="65"/>
        </patternFill>
      </fill>
      <border>
        <left style="thin">
          <color rgb="FF000000"/>
        </left>
        <right style="thin">
          <color rgb="FF000000"/>
        </right>
        <vertical style="thin">
          <color rgb="FF000000"/>
        </vertical>
      </border>
    </dxf>
    <dxf>
      <font>
        <b val="0"/>
        <i val="0"/>
        <strike val="0"/>
        <condense val="0"/>
        <extend val="0"/>
        <outline val="0"/>
        <shadow val="0"/>
        <u val="none"/>
        <vertAlign val="baseline"/>
        <sz val="10"/>
        <color theme="1"/>
        <name val="Arial"/>
        <scheme val="minor"/>
      </font>
      <fill>
        <patternFill patternType="none">
          <fgColor indexed="64"/>
          <bgColor indexed="65"/>
        </patternFill>
      </fill>
      <border>
        <left style="thin">
          <color rgb="FF000000"/>
        </left>
        <right style="thin">
          <color rgb="FF000000"/>
        </right>
        <vertical style="thin">
          <color rgb="FF000000"/>
        </vertical>
      </border>
    </dxf>
    <dxf>
      <font>
        <b val="0"/>
        <i val="0"/>
        <strike val="0"/>
        <condense val="0"/>
        <extend val="0"/>
        <outline val="0"/>
        <shadow val="0"/>
        <u val="none"/>
        <vertAlign val="baseline"/>
        <sz val="10"/>
        <color theme="1"/>
        <name val="Arial"/>
        <scheme val="minor"/>
      </font>
      <fill>
        <patternFill patternType="none">
          <fgColor indexed="64"/>
          <bgColor indexed="65"/>
        </patternFill>
      </fill>
      <border>
        <left/>
        <right style="thin">
          <color rgb="FF000000"/>
        </right>
        <vertical style="thin">
          <color rgb="FF000000"/>
        </vertical>
      </border>
    </dxf>
    <dxf>
      <border outline="0">
        <bottom style="thin">
          <color rgb="FF000000"/>
        </bottom>
      </border>
    </dxf>
    <dxf/>
    <dxf>
      <font>
        <b val="0"/>
        <i val="0"/>
        <strike val="0"/>
        <condense val="0"/>
        <extend val="0"/>
        <outline val="0"/>
        <shadow val="0"/>
        <u val="none"/>
        <vertAlign val="baseline"/>
        <sz val="10"/>
        <color theme="1"/>
        <name val="Arial"/>
        <scheme val="minor"/>
      </font>
      <fill>
        <patternFill patternType="none">
          <fgColor indexed="64"/>
          <bgColor indexed="65"/>
        </patternFill>
      </fill>
    </dxf>
    <dxf>
      <font>
        <b/>
        <i val="0"/>
        <strike val="0"/>
        <condense val="0"/>
        <extend val="0"/>
        <outline val="0"/>
        <shadow val="0"/>
        <u val="none"/>
        <vertAlign val="baseline"/>
        <sz val="10"/>
        <color theme="1"/>
        <name val="Arial"/>
        <scheme val="minor"/>
      </font>
      <border diagonalUp="0" diagonalDown="0">
        <left style="thin">
          <color rgb="FF000000"/>
        </left>
        <right style="thin">
          <color rgb="FF000000"/>
        </right>
        <top/>
        <bottom/>
        <vertical style="thin">
          <color rgb="FF000000"/>
        </vertical>
      </border>
    </dxf>
    <dxf>
      <font>
        <color rgb="FF006100"/>
      </font>
      <fill>
        <patternFill>
          <bgColor rgb="FFC6EFCE"/>
        </patternFill>
      </fill>
    </dxf>
    <dxf>
      <font>
        <b val="0"/>
        <i val="0"/>
        <strike val="0"/>
        <condense val="0"/>
        <extend val="0"/>
        <outline val="0"/>
        <shadow val="0"/>
        <u/>
        <vertAlign val="baseline"/>
        <sz val="10"/>
        <color rgb="FF0000FF"/>
        <name val="Arial"/>
        <scheme val="none"/>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i val="0"/>
        <strike val="0"/>
        <condense val="0"/>
        <extend val="0"/>
        <outline val="0"/>
        <shadow val="0"/>
        <u val="none"/>
        <vertAlign val="baseline"/>
        <sz val="10"/>
        <color theme="1"/>
        <name val="Arial"/>
        <scheme val="minor"/>
      </font>
    </dxf>
    <dxf>
      <numFmt numFmtId="0" formatCode="General"/>
      <fill>
        <patternFill patternType="none">
          <fgColor indexed="64"/>
          <bgColor indexed="65"/>
        </patternFill>
      </fill>
      <border diagonalUp="0" diagonalDown="0">
        <left style="thin">
          <color rgb="FF000000"/>
        </left>
        <right/>
        <top/>
        <bottom/>
        <vertical/>
        <horizontal/>
      </border>
    </dxf>
    <dxf>
      <fill>
        <patternFill patternType="none">
          <fgColor indexed="64"/>
          <bgColor indexed="65"/>
        </patternFill>
      </fill>
      <border diagonalUp="0" diagonalDown="0">
        <left style="thin">
          <color rgb="FF000000"/>
        </left>
        <right style="thin">
          <color rgb="FF000000"/>
        </right>
        <top/>
        <bottom/>
        <vertical/>
        <horizontal/>
      </border>
    </dxf>
    <dxf>
      <font>
        <b val="0"/>
        <i val="0"/>
        <strike val="0"/>
        <condense val="0"/>
        <extend val="0"/>
        <outline val="0"/>
        <shadow val="0"/>
        <u val="none"/>
        <vertAlign val="baseline"/>
        <sz val="10"/>
        <color theme="1"/>
        <name val="Arial"/>
        <scheme val="minor"/>
      </font>
      <border diagonalUp="0" diagonalDown="0">
        <left style="thin">
          <color rgb="FF000000"/>
        </left>
        <right style="thin">
          <color rgb="FF000000"/>
        </right>
        <top/>
        <bottom/>
        <vertical/>
        <horizontal/>
      </border>
    </dxf>
    <dxf>
      <fill>
        <patternFill patternType="none">
          <fgColor indexed="64"/>
          <bgColor indexed="65"/>
        </patternFill>
      </fill>
      <border diagonalUp="0" diagonalDown="0">
        <left style="thin">
          <color rgb="FF000000"/>
        </left>
        <right style="thin">
          <color rgb="FF000000"/>
        </right>
        <top/>
        <bottom/>
        <vertical/>
        <horizontal/>
      </border>
    </dxf>
    <dxf>
      <font>
        <b val="0"/>
        <i val="0"/>
        <strike val="0"/>
        <condense val="0"/>
        <extend val="0"/>
        <outline val="0"/>
        <shadow val="0"/>
        <u val="none"/>
        <vertAlign val="baseline"/>
        <sz val="10"/>
        <color theme="1"/>
        <name val="Arial"/>
        <scheme val="minor"/>
      </font>
      <numFmt numFmtId="4" formatCode="#,##0.00"/>
      <border diagonalUp="0" diagonalDown="0">
        <left style="thin">
          <color rgb="FF000000"/>
        </left>
        <right style="thin">
          <color rgb="FF000000"/>
        </right>
        <top/>
        <bottom/>
        <vertical/>
        <horizontal/>
      </border>
    </dxf>
    <dxf>
      <fill>
        <patternFill patternType="none">
          <fgColor indexed="64"/>
          <bgColor indexed="65"/>
        </patternFill>
      </fill>
      <border diagonalUp="0" diagonalDown="0">
        <left style="thin">
          <color rgb="FF000000"/>
        </left>
        <right style="thin">
          <color rgb="FF000000"/>
        </right>
        <top/>
        <bottom/>
        <vertical/>
        <horizontal/>
      </border>
    </dxf>
    <dxf>
      <font>
        <b val="0"/>
        <i val="0"/>
        <strike val="0"/>
        <condense val="0"/>
        <extend val="0"/>
        <outline val="0"/>
        <shadow val="0"/>
        <u val="none"/>
        <vertAlign val="baseline"/>
        <sz val="10"/>
        <color theme="1"/>
        <name val="Arial"/>
        <scheme val="minor"/>
      </font>
      <numFmt numFmtId="4" formatCode="#,##0.00"/>
      <border diagonalUp="0" diagonalDown="0">
        <left style="thin">
          <color rgb="FF000000"/>
        </left>
        <right style="thin">
          <color rgb="FF000000"/>
        </right>
        <top/>
        <bottom/>
        <vertical/>
        <horizontal/>
      </border>
    </dxf>
    <dxf>
      <fill>
        <patternFill patternType="none">
          <fgColor indexed="64"/>
          <bgColor indexed="65"/>
        </patternFill>
      </fill>
      <border diagonalUp="0" diagonalDown="0">
        <left style="thin">
          <color rgb="FF000000"/>
        </left>
        <right style="thin">
          <color rgb="FF000000"/>
        </right>
        <top/>
        <bottom/>
        <vertical/>
        <horizontal/>
      </border>
    </dxf>
    <dxf>
      <font>
        <b val="0"/>
        <i val="0"/>
        <strike val="0"/>
        <condense val="0"/>
        <extend val="0"/>
        <outline val="0"/>
        <shadow val="0"/>
        <u val="none"/>
        <vertAlign val="baseline"/>
        <sz val="10"/>
        <color theme="1"/>
        <name val="Arial"/>
        <scheme val="minor"/>
      </font>
      <numFmt numFmtId="4" formatCode="#,##0.00"/>
      <border diagonalUp="0" diagonalDown="0">
        <left style="thin">
          <color rgb="FF000000"/>
        </left>
        <right style="thin">
          <color rgb="FF000000"/>
        </right>
        <top/>
        <bottom/>
        <vertical/>
        <horizontal/>
      </border>
    </dxf>
    <dxf>
      <fill>
        <patternFill patternType="none">
          <fgColor indexed="64"/>
          <bgColor indexed="65"/>
        </patternFill>
      </fill>
      <border diagonalUp="0" diagonalDown="0">
        <left style="thin">
          <color rgb="FF000000"/>
        </left>
        <right style="thin">
          <color rgb="FF000000"/>
        </right>
        <top/>
        <bottom/>
        <vertical/>
        <horizontal/>
      </border>
    </dxf>
    <dxf>
      <font>
        <b val="0"/>
        <i val="0"/>
        <strike val="0"/>
        <condense val="0"/>
        <extend val="0"/>
        <outline val="0"/>
        <shadow val="0"/>
        <u val="none"/>
        <vertAlign val="baseline"/>
        <sz val="10"/>
        <color theme="1"/>
        <name val="Arial"/>
        <scheme val="minor"/>
      </font>
      <border diagonalUp="0" diagonalDown="0">
        <left style="thin">
          <color rgb="FF000000"/>
        </left>
        <right style="thin">
          <color rgb="FF000000"/>
        </right>
        <top/>
        <bottom/>
        <vertical/>
        <horizontal/>
      </border>
    </dxf>
    <dxf>
      <fill>
        <patternFill patternType="none">
          <fgColor indexed="64"/>
          <bgColor indexed="65"/>
        </patternFill>
      </fill>
      <border diagonalUp="0" diagonalDown="0">
        <left style="thin">
          <color rgb="FF000000"/>
        </left>
        <right style="thin">
          <color rgb="FF000000"/>
        </right>
        <top/>
        <bottom/>
        <vertical/>
        <horizontal/>
      </border>
    </dxf>
    <dxf>
      <font>
        <b val="0"/>
        <i val="0"/>
        <strike val="0"/>
        <condense val="0"/>
        <extend val="0"/>
        <outline val="0"/>
        <shadow val="0"/>
        <u val="none"/>
        <vertAlign val="baseline"/>
        <sz val="10"/>
        <color theme="1"/>
        <name val="Arial"/>
        <scheme val="minor"/>
      </font>
      <border diagonalUp="0" diagonalDown="0">
        <left style="thin">
          <color rgb="FF000000"/>
        </left>
        <right style="thin">
          <color rgb="FF000000"/>
        </right>
        <top/>
        <bottom/>
        <vertical/>
        <horizontal/>
      </border>
    </dxf>
    <dxf>
      <fill>
        <patternFill patternType="none">
          <fgColor indexed="64"/>
          <bgColor indexed="65"/>
        </patternFill>
      </fill>
      <border diagonalUp="0" diagonalDown="0">
        <left style="thin">
          <color rgb="FF000000"/>
        </left>
        <right style="thin">
          <color rgb="FF000000"/>
        </right>
        <top/>
        <bottom/>
        <vertical/>
        <horizontal/>
      </border>
    </dxf>
    <dxf>
      <font>
        <b val="0"/>
        <i val="0"/>
        <strike val="0"/>
        <condense val="0"/>
        <extend val="0"/>
        <outline val="0"/>
        <shadow val="0"/>
        <u val="none"/>
        <vertAlign val="baseline"/>
        <sz val="10"/>
        <color theme="1"/>
        <name val="Arial"/>
        <scheme val="minor"/>
      </font>
      <border diagonalUp="0" diagonalDown="0">
        <left style="thin">
          <color rgb="FF000000"/>
        </left>
        <right style="thin">
          <color rgb="FF000000"/>
        </right>
        <top/>
        <bottom/>
        <vertical/>
        <horizontal/>
      </border>
    </dxf>
    <dxf>
      <font>
        <b val="0"/>
        <i val="0"/>
        <strike val="0"/>
        <condense val="0"/>
        <extend val="0"/>
        <outline val="0"/>
        <shadow val="0"/>
        <u val="none"/>
        <vertAlign val="baseline"/>
        <sz val="10"/>
        <color theme="1"/>
        <name val="Arial"/>
        <scheme val="minor"/>
      </font>
      <border diagonalUp="0" diagonalDown="0">
        <left style="thin">
          <color rgb="FF000000"/>
        </left>
        <right style="thin">
          <color rgb="FF000000"/>
        </right>
        <top/>
        <bottom/>
        <vertical/>
        <horizontal/>
      </border>
    </dxf>
    <dxf>
      <border outline="0">
        <bottom style="medium">
          <color rgb="FF000000"/>
        </bottom>
      </border>
    </dxf>
    <dxf>
      <border outline="0">
        <right style="thin">
          <color rgb="FF000000"/>
        </right>
        <top style="medium">
          <color rgb="FF000000"/>
        </top>
        <bottom style="thin">
          <color rgb="FF000000"/>
        </bottom>
      </border>
    </dxf>
    <dxf>
      <font>
        <color rgb="FF006100"/>
      </font>
      <fill>
        <patternFill patternType="solid">
          <bgColor theme="9" tint="0.79998168889431442"/>
        </patternFill>
      </fill>
      <border>
        <left style="thin">
          <color rgb="FF000000"/>
        </left>
        <right style="thin">
          <color rgb="FF000000"/>
        </right>
        <top style="thin">
          <color rgb="FF000000"/>
        </top>
        <bottom style="thin">
          <color rgb="FF000000"/>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0/07/relationships/rdRichValueWebImage" Target="richData/rdRichValueWebImage.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ichStyles" Target="richData/rich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Array" Target="richData/rdarray.xml"/><Relationship Id="rId5" Type="http://schemas.openxmlformats.org/officeDocument/2006/relationships/styles" Target="styles.xml"/><Relationship Id="rId15" Type="http://schemas.microsoft.com/office/2017/06/relationships/rdRichValueTypes" Target="richData/rdRichValueTyp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microsoft.com/office/2017/06/relationships/rdSupportingPropertyBag" Target="richData/rdsupportingpropertybag.xml"/></Relationships>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Pittsburgh" TargetMode="External"/><Relationship Id="rId21" Type="http://schemas.openxmlformats.org/officeDocument/2006/relationships/hyperlink" Target="https://www.bing.com/th?id=OSK.7c6ac9e32b39ed66ada6f09b005d8e74&amp;qlt=95" TargetMode="External"/><Relationship Id="rId34" Type="http://schemas.openxmlformats.org/officeDocument/2006/relationships/hyperlink" Target="https://www.bing.com/images/search?form=xlimg&amp;q=Santa%20Barbara,%20California" TargetMode="External"/><Relationship Id="rId42" Type="http://schemas.openxmlformats.org/officeDocument/2006/relationships/hyperlink" Target="https://www.bing.com/images/search?form=xlimg&amp;q=Salt%20Lake%20City" TargetMode="External"/><Relationship Id="rId47" Type="http://schemas.openxmlformats.org/officeDocument/2006/relationships/hyperlink" Target="https://www.bing.com/th?id=OSK.3ab8a53ed158e65bfbb2cea9963493da&amp;qlt=95" TargetMode="External"/><Relationship Id="rId50" Type="http://schemas.openxmlformats.org/officeDocument/2006/relationships/hyperlink" Target="https://www.bing.com/images/search?form=xlimg&amp;q=Los%20Angeles" TargetMode="External"/><Relationship Id="rId55" Type="http://schemas.openxmlformats.org/officeDocument/2006/relationships/hyperlink" Target="https://www.bing.com/th?id=OSK.iLRV7gIGImMH_w3tuxZS88Mlgc9PgPgMQsGvUZKm1h0&amp;qlt=95" TargetMode="External"/><Relationship Id="rId63" Type="http://schemas.openxmlformats.org/officeDocument/2006/relationships/hyperlink" Target="https://www.bing.com/th?id=OSK.982d39a4fd93ff615d88cd176d0a71f8&amp;qlt=95" TargetMode="External"/><Relationship Id="rId68" Type="http://schemas.openxmlformats.org/officeDocument/2006/relationships/hyperlink" Target="https://www.bing.com/images/search?form=xlimg&amp;q=Medford,%20Massachusetts" TargetMode="External"/><Relationship Id="rId7" Type="http://schemas.openxmlformats.org/officeDocument/2006/relationships/hyperlink" Target="https://www.bing.com/th?id=OSK.a2bc48b4448639829b50aefe3e0c0602&amp;qlt=95" TargetMode="External"/><Relationship Id="rId2" Type="http://schemas.openxmlformats.org/officeDocument/2006/relationships/hyperlink" Target="https://www.bing.com/images/search?form=xlimg&amp;q=Nashville,%20Tennessee" TargetMode="External"/><Relationship Id="rId16" Type="http://schemas.openxmlformats.org/officeDocument/2006/relationships/hyperlink" Target="https://www.bing.com/images/search?form=xlimg&amp;q=Medford,%20Oregon" TargetMode="External"/><Relationship Id="rId29" Type="http://schemas.openxmlformats.org/officeDocument/2006/relationships/hyperlink" Target="https://www.bing.com/th?id=OSK.Fb_pT0KfoOcjEj-VAwhXjofs5Ktmc8ANK-ixtgNm-Tw&amp;qlt=95" TargetMode="External"/><Relationship Id="rId11" Type="http://schemas.openxmlformats.org/officeDocument/2006/relationships/hyperlink" Target="https://www.bing.com/th?id=OSK.cf502052121982496303d5b3bf2881d2&amp;qlt=95" TargetMode="External"/><Relationship Id="rId24" Type="http://schemas.openxmlformats.org/officeDocument/2006/relationships/hyperlink" Target="https://www.bing.com/images/search?form=xlimg&amp;q=Rochester,%20New%20York" TargetMode="External"/><Relationship Id="rId32" Type="http://schemas.openxmlformats.org/officeDocument/2006/relationships/hyperlink" Target="https://www.bing.com/images/search?form=xlimg&amp;q=Lincoln,%20Nebraska" TargetMode="External"/><Relationship Id="rId37" Type="http://schemas.openxmlformats.org/officeDocument/2006/relationships/hyperlink" Target="https://www.bing.com/th?id=OSK.341945ad98c6feb4b11a581a7a068254&amp;qlt=95" TargetMode="External"/><Relationship Id="rId40" Type="http://schemas.openxmlformats.org/officeDocument/2006/relationships/hyperlink" Target="https://www.bing.com/images/search?form=xlimg&amp;q=Newark,%20New%20Jersey" TargetMode="External"/><Relationship Id="rId45" Type="http://schemas.openxmlformats.org/officeDocument/2006/relationships/hyperlink" Target="https://www.bing.com/th?id=OSK.6qX023AgXMIHX8hSZB5U8PHNTPiQk-EQWlyKS53mLmQ&amp;qlt=95" TargetMode="External"/><Relationship Id="rId53" Type="http://schemas.openxmlformats.org/officeDocument/2006/relationships/hyperlink" Target="https://www.bing.com/th?id=OSK.41d6533bb269213fdda41515376d514d&amp;qlt=95" TargetMode="External"/><Relationship Id="rId58" Type="http://schemas.openxmlformats.org/officeDocument/2006/relationships/hyperlink" Target="https://www.bing.com/images/search?form=xlimg&amp;q=Philadelphia" TargetMode="External"/><Relationship Id="rId66" Type="http://schemas.openxmlformats.org/officeDocument/2006/relationships/hyperlink" Target="https://www.bing.com/images/search?form=xlimg&amp;q=New%20Haven,%20Connecticut" TargetMode="External"/><Relationship Id="rId5" Type="http://schemas.openxmlformats.org/officeDocument/2006/relationships/hyperlink" Target="https://www.bing.com/th?id=OSK.5d4f58204601fa1f31c408c65607c0ed&amp;qlt=95" TargetMode="External"/><Relationship Id="rId61" Type="http://schemas.openxmlformats.org/officeDocument/2006/relationships/hyperlink" Target="https://www.bing.com/th?id=OSK.tHHR8hD1vGDXMIUbSS9m0K_zZSlNcTEKaptLBdKjHvQ&amp;qlt=95" TargetMode="External"/><Relationship Id="rId19" Type="http://schemas.openxmlformats.org/officeDocument/2006/relationships/hyperlink" Target="https://www.bing.com/th?id=OSK.augHsEZ7xqznx8F4spCKSgb7lX75zj9qiBLkXal6RKg&amp;qlt=95" TargetMode="External"/><Relationship Id="rId14" Type="http://schemas.openxmlformats.org/officeDocument/2006/relationships/hyperlink" Target="https://www.bing.com/images/search?form=xlimg&amp;q=Fairfax,%20Virginia" TargetMode="External"/><Relationship Id="rId22" Type="http://schemas.openxmlformats.org/officeDocument/2006/relationships/hyperlink" Target="https://www.bing.com/images/search?form=xlimg&amp;q=Minneapolis" TargetMode="External"/><Relationship Id="rId27" Type="http://schemas.openxmlformats.org/officeDocument/2006/relationships/hyperlink" Target="https://www.bing.com/th?id=OSK.11eba5c37156fc19b9d5723c1abe5b85&amp;qlt=95" TargetMode="External"/><Relationship Id="rId30" Type="http://schemas.openxmlformats.org/officeDocument/2006/relationships/hyperlink" Target="https://www.bing.com/images/search?form=xlimg&amp;q=Eugene,%20Oregon" TargetMode="External"/><Relationship Id="rId35" Type="http://schemas.openxmlformats.org/officeDocument/2006/relationships/hyperlink" Target="https://www.bing.com/th?id=OSK.0642fe82b9256202edc45876421721d8&amp;qlt=95" TargetMode="External"/><Relationship Id="rId43" Type="http://schemas.openxmlformats.org/officeDocument/2006/relationships/hyperlink" Target="https://www.bing.com/th?id=OSK.PRHq34dzHBdCwDC-36Drzb1TIc-DD2cyfkcgz_aM0fg&amp;qlt=95" TargetMode="External"/><Relationship Id="rId48" Type="http://schemas.openxmlformats.org/officeDocument/2006/relationships/hyperlink" Target="https://www.bing.com/images/search?form=xlimg&amp;q=Evanston,%20Illinois" TargetMode="External"/><Relationship Id="rId56" Type="http://schemas.openxmlformats.org/officeDocument/2006/relationships/hyperlink" Target="https://www.bing.com/images/search?form=xlimg&amp;q=Seattle" TargetMode="External"/><Relationship Id="rId64" Type="http://schemas.openxmlformats.org/officeDocument/2006/relationships/hyperlink" Target="https://www.bing.com/images/search?form=xlimg&amp;q=North%20Chicago,%20Illinois" TargetMode="External"/><Relationship Id="rId8" Type="http://schemas.openxmlformats.org/officeDocument/2006/relationships/hyperlink" Target="https://www.bing.com/images/search?form=xlimg&amp;q=Durham,%20North%20Carolina" TargetMode="External"/><Relationship Id="rId51" Type="http://schemas.openxmlformats.org/officeDocument/2006/relationships/hyperlink" Target="https://www.bing.com/th?id=OSK.DN1speyRIVtbxJUdfTuQ535GcHEc-3Hb5QIrDdtUr-4&amp;qlt=95" TargetMode="External"/><Relationship Id="rId3" Type="http://schemas.openxmlformats.org/officeDocument/2006/relationships/hyperlink" Target="https://www.bing.com/th?id=OSK.BEWx5JfhCgfBep2KSdAHx--7eW9pZb25WGVNulZYI1c&amp;qlt=95" TargetMode="External"/><Relationship Id="rId12" Type="http://schemas.openxmlformats.org/officeDocument/2006/relationships/hyperlink" Target="https://www.bing.com/images/search?form=xlimg&amp;q=Pullman,%20Washington" TargetMode="External"/><Relationship Id="rId17" Type="http://schemas.openxmlformats.org/officeDocument/2006/relationships/hyperlink" Target="https://www.bing.com/th?id=OSK.9e4ad3eb6a33871b9cb1bb02abc58098&amp;qlt=95" TargetMode="External"/><Relationship Id="rId25" Type="http://schemas.openxmlformats.org/officeDocument/2006/relationships/hyperlink" Target="https://www.bing.com/th?id=OSK.09cf279ad5c4bf29528ac1780d0c14bc&amp;qlt=95" TargetMode="External"/><Relationship Id="rId33" Type="http://schemas.openxmlformats.org/officeDocument/2006/relationships/hyperlink" Target="https://www.bing.com/th?id=OSK.9af8cc2679fb6c3bc79f9235e3c9f6c5&amp;qlt=95" TargetMode="External"/><Relationship Id="rId38" Type="http://schemas.openxmlformats.org/officeDocument/2006/relationships/hyperlink" Target="https://www.bing.com/images/search?form=xlimg&amp;q=Gainesville,%20Florida" TargetMode="External"/><Relationship Id="rId46" Type="http://schemas.openxmlformats.org/officeDocument/2006/relationships/hyperlink" Target="https://www.bing.com/images/search?form=xlimg&amp;q=Raleigh,%20North%20Carolina" TargetMode="External"/><Relationship Id="rId59" Type="http://schemas.openxmlformats.org/officeDocument/2006/relationships/hyperlink" Target="https://www.bing.com/th?id=OSK.YtMhN6HhvG5MEe3503eBpt0x5dUEQecJSHfTztAgl0U&amp;qlt=95" TargetMode="External"/><Relationship Id="rId67" Type="http://schemas.openxmlformats.org/officeDocument/2006/relationships/hyperlink" Target="https://www.bing.com/th?id=OSK.fd3881ca6c35839fb0664dfc11bd15f0&amp;qlt=95" TargetMode="External"/><Relationship Id="rId20" Type="http://schemas.openxmlformats.org/officeDocument/2006/relationships/hyperlink" Target="https://www.bing.com/images/search?form=xlimg&amp;q=East%20Lansing,%20Michigan" TargetMode="External"/><Relationship Id="rId41" Type="http://schemas.openxmlformats.org/officeDocument/2006/relationships/hyperlink" Target="https://www.bing.com/th?id=OSK.jzgnHSt1XeFSHza4TmvDOWLIuuWBk3d2fARGxGO9Hm8&amp;qlt=95" TargetMode="External"/><Relationship Id="rId54" Type="http://schemas.openxmlformats.org/officeDocument/2006/relationships/hyperlink" Target="https://www.bing.com/images/search?form=xlimg&amp;q=San%20Diego" TargetMode="External"/><Relationship Id="rId62" Type="http://schemas.openxmlformats.org/officeDocument/2006/relationships/hyperlink" Target="https://www.bing.com/images/search?form=xlimg&amp;q=Ithaca,%20New%20York" TargetMode="External"/><Relationship Id="rId1" Type="http://schemas.openxmlformats.org/officeDocument/2006/relationships/hyperlink" Target="https://www.bing.com/th?id=OSK.Gm_I6GKAj2a9B0RBXeYbUshVxBIpB7Q4lKoG1HP5DSs&amp;qlt=95" TargetMode="External"/><Relationship Id="rId6" Type="http://schemas.openxmlformats.org/officeDocument/2006/relationships/hyperlink" Target="https://www.bing.com/images/search?form=xlimg&amp;q=Hanover" TargetMode="External"/><Relationship Id="rId15" Type="http://schemas.openxmlformats.org/officeDocument/2006/relationships/hyperlink" Target="https://www.bing.com/th?id=OSK.b1dc8942e52270549871e6a011e85862&amp;qlt=95" TargetMode="External"/><Relationship Id="rId23" Type="http://schemas.openxmlformats.org/officeDocument/2006/relationships/hyperlink" Target="https://www.bing.com/th?id=OSK.df901d35056edd3f22f0a92e07dcf5fd&amp;qlt=95" TargetMode="External"/><Relationship Id="rId28" Type="http://schemas.openxmlformats.org/officeDocument/2006/relationships/hyperlink" Target="https://www.bing.com/images/search?form=xlimg&amp;q=New%20Brunswick" TargetMode="External"/><Relationship Id="rId36" Type="http://schemas.openxmlformats.org/officeDocument/2006/relationships/hyperlink" Target="https://www.bing.com/images/search?form=xlimg&amp;q=Irvine,%20California" TargetMode="External"/><Relationship Id="rId49" Type="http://schemas.openxmlformats.org/officeDocument/2006/relationships/hyperlink" Target="https://www.bing.com/th?id=OSK.58ac448972c6ab144b54e831a714990d&amp;qlt=95" TargetMode="External"/><Relationship Id="rId57" Type="http://schemas.openxmlformats.org/officeDocument/2006/relationships/hyperlink" Target="https://www.bing.com/th?id=OSK.ffdd3b3273d02c76897b944b2bd7f440&amp;qlt=95" TargetMode="External"/><Relationship Id="rId10" Type="http://schemas.openxmlformats.org/officeDocument/2006/relationships/hyperlink" Target="https://www.bing.com/images/search?form=xlimg&amp;q=Pasadena,%20California" TargetMode="External"/><Relationship Id="rId31" Type="http://schemas.openxmlformats.org/officeDocument/2006/relationships/hyperlink" Target="https://www.bing.com/th?id=OSK.a3259d4680ef1b97c7edde54ae0f48e7&amp;qlt=95" TargetMode="External"/><Relationship Id="rId44" Type="http://schemas.openxmlformats.org/officeDocument/2006/relationships/hyperlink" Target="https://www.bing.com/images/search?form=xlimg&amp;q=Madison,%20Wisconsin" TargetMode="External"/><Relationship Id="rId52" Type="http://schemas.openxmlformats.org/officeDocument/2006/relationships/hyperlink" Target="https://www.bing.com/images/search?form=xlimg&amp;q=Princeton,%20New%20Jersey" TargetMode="External"/><Relationship Id="rId60" Type="http://schemas.openxmlformats.org/officeDocument/2006/relationships/hyperlink" Target="https://www.bing.com/images/search?form=xlimg&amp;q=New%20York%20City" TargetMode="External"/><Relationship Id="rId65" Type="http://schemas.openxmlformats.org/officeDocument/2006/relationships/hyperlink" Target="https://www.bing.com/th?id=OSK.WutdD0vBCfpUoJ0b-29VZ8FJp5MVFWUCISvnhBCeF0A&amp;qlt=95" TargetMode="External"/><Relationship Id="rId4" Type="http://schemas.openxmlformats.org/officeDocument/2006/relationships/hyperlink" Target="https://www.bing.com/images/search?form=xlimg&amp;q=Iowa%20City,%20Iowa" TargetMode="External"/><Relationship Id="rId9" Type="http://schemas.openxmlformats.org/officeDocument/2006/relationships/hyperlink" Target="https://www.bing.com/th?id=OSK.9f8afb548e28792918da15f503820d35&amp;qlt=95" TargetMode="External"/><Relationship Id="rId13" Type="http://schemas.openxmlformats.org/officeDocument/2006/relationships/hyperlink" Target="https://www.bing.com/th?id=OSK.OR1vnlNQKGocJJxqp55-50CKFB-ofJ1IyV1YMb0Ks8s&amp;qlt=95" TargetMode="External"/><Relationship Id="rId18" Type="http://schemas.openxmlformats.org/officeDocument/2006/relationships/hyperlink" Target="https://www.bing.com/images/search?form=xlimg&amp;q=Provo,%20Utah" TargetMode="External"/><Relationship Id="rId39" Type="http://schemas.openxmlformats.org/officeDocument/2006/relationships/hyperlink" Target="https://www.bing.com/th?id=OSK.4d47069859d91f939b68a2f13f26f98e&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Srd>
</file>

<file path=xl/richData/rdarray.xml><?xml version="1.0" encoding="utf-8"?>
<arrayData xmlns="http://schemas.microsoft.com/office/spreadsheetml/2017/richdata2" count="41">
  <a r="1">
    <v t="r">7</v>
  </a>
  <a r="1">
    <v t="s">Central Time Zone</v>
  </a>
  <a r="1">
    <v t="r">21</v>
  </a>
  <a r="1">
    <v t="r">34</v>
  </a>
  <a r="2">
    <v t="s">UTC+02:00</v>
    <v t="s">UTC+01:00</v>
  </a>
  <a r="1">
    <v t="r">47</v>
  </a>
  <a r="1">
    <v t="s">Eastern Time Zone</v>
  </a>
  <a r="1">
    <v t="r">60</v>
  </a>
  <a r="1">
    <v t="s">Pacific Time Zone</v>
  </a>
  <a r="1">
    <v t="r">73</v>
  </a>
  <a r="2">
    <v t="s">Eastern Time Zone</v>
    <v t="s">UTC−05:00</v>
  </a>
  <a r="1">
    <v t="r">93</v>
  </a>
  <a r="1">
    <v t="r">105</v>
  </a>
  <a r="1">
    <v t="s">Mountain Time Zone</v>
  </a>
  <a r="1">
    <v t="r">118</v>
  </a>
  <a r="1">
    <v t="r">130</v>
  </a>
  <a r="1">
    <v t="r">142</v>
  </a>
  <a r="1">
    <v t="r">154</v>
  </a>
  <a r="2">
    <v t="r">169</v>
    <v t="r">170</v>
  </a>
  <a r="2">
    <v t="s">English language</v>
    <v t="s">French language</v>
  </a>
  <a r="1">
    <v t="s">Atlantic Time Zone</v>
  </a>
  <a r="1">
    <v t="r">184</v>
  </a>
  <a r="1">
    <v t="r">196</v>
  </a>
  <a r="2">
    <v t="r">207</v>
    <v t="r">208</v>
  </a>
  <a r="1">
    <v t="r">219</v>
  </a>
  <a r="1">
    <v t="r">231</v>
  </a>
  <a r="1">
    <v t="r">243</v>
  </a>
  <a r="1">
    <v t="r">254</v>
  </a>
  <a r="1">
    <v t="r">266</v>
  </a>
  <a r="1">
    <v t="r">277</v>
  </a>
  <a r="1">
    <v t="r">289</v>
  </a>
  <a r="1">
    <v t="r">299</v>
  </a>
  <a r="1">
    <v t="r">310</v>
  </a>
  <a r="5">
    <v t="r">321</v>
    <v t="r">322</v>
    <v t="r">323</v>
    <v t="r">324</v>
    <v t="r">325</v>
  </a>
  <a r="1">
    <v t="r">336</v>
  </a>
  <a r="1">
    <v t="r">347</v>
  </a>
  <a r="1">
    <v t="r">357</v>
  </a>
  <a r="1">
    <v t="r">368</v>
  </a>
  <a r="1">
    <v t="r">379</v>
  </a>
  <a r="1">
    <v t="r">391</v>
  </a>
  <a r="1">
    <v t="r">403</v>
  </a>
</arrayData>
</file>

<file path=xl/richData/rdrichvalue.xml><?xml version="1.0" encoding="utf-8"?>
<rvData xmlns="http://schemas.microsoft.com/office/spreadsheetml/2017/richdata" count="409">
  <rv s="0">
    <v>536870912</v>
    <v>Nashville, Tennessee</v>
    <v>e2accb9d-ccea-5b7c-7bbc-0db831476d61</v>
    <v>en-US</v>
    <v>Map</v>
  </rv>
  <rv s="0">
    <v>536870912</v>
    <v>Tennessee</v>
    <v>9bbc9c72-1bf1-4ef6-b66d-a6cdef70f4f3</v>
    <v>en-US</v>
    <v>Map</v>
  </rv>
  <rv s="0">
    <v>536870912</v>
    <v>Davidson County, Tennessee</v>
    <v>333fe993-fea1-1234-e900-137860a296b7</v>
    <v>en-US</v>
    <v>Map</v>
  </rv>
  <rv s="1">
    <fb>1362.2</fb>
    <v>8</v>
  </rv>
  <rv s="0">
    <v>536870912</v>
    <v>United States</v>
    <v>5232ed96-85b1-2edb-12c6-63e6c597a1de</v>
    <v>en-US</v>
    <v>Map</v>
  </rv>
  <rv s="2">
    <v>0</v>
    <v>6</v>
    <v>0</v>
    <v>7</v>
    <v>0</v>
    <v>Image of Nashville, Tennessee</v>
  </rv>
  <rv s="1">
    <fb>36.162222222222198</fb>
    <v>9</v>
  </rv>
  <rv s="0">
    <v>805306368</v>
    <v>Freddie O'Connell (Mayor)</v>
    <v>8f43b321-4e8f-5e51-7aa8-e580959c5a98</v>
    <v>en-US</v>
    <v>Generic</v>
  </rv>
  <rv s="3">
    <v>0</v>
  </rv>
  <rv s="4">
    <v>https://www.bing.com/search?q=nashville+tennessee&amp;form=skydnc</v>
    <v>Learn more on Bing</v>
  </rv>
  <rv s="1">
    <fb>-86.774444444444399</fb>
    <v>9</v>
  </rv>
  <rv s="1">
    <fb>721074</fb>
    <v>8</v>
  </rv>
  <rv s="3">
    <v>1</v>
  </rv>
  <rv s="5">
    <v>#VALUE!</v>
    <v>en-US</v>
    <v>e2accb9d-ccea-5b7c-7bbc-0db831476d61</v>
    <v>536870912</v>
    <v>1</v>
    <v>1</v>
    <v>2</v>
    <v>Nashville, Tennessee</v>
    <v>4</v>
    <v>5</v>
    <v>Map</v>
    <v>6</v>
    <v>7</v>
    <v>1</v>
    <v>2</v>
    <v>3</v>
    <v>4</v>
    <v>Nashville is the capital and most populous city in the U.S. state of Tennessee. It is the seat of Davidson County in Middle Tennessee, located on the Cumberland River. It is the 20th-most populous city in the United States and fourth-most ...</v>
    <v>5</v>
    <v>6</v>
    <v>8</v>
    <v>9</v>
    <v>10</v>
    <v>Nashville, Tennessee</v>
    <v>11</v>
    <v>12</v>
    <v>Nashville, Tennessee</v>
    <v>mdp/vdpid/5482596216845893633</v>
  </rv>
  <rv s="0">
    <v>536870912</v>
    <v>Iowa City, Iowa</v>
    <v>718782b6-5665-4c6e-b820-08c2fbf47fbc</v>
    <v>en-US</v>
    <v>Map</v>
  </rv>
  <rv s="0">
    <v>536870912</v>
    <v>Iowa</v>
    <v>77850824-b07a-487a-af58-37f9949afc27</v>
    <v>en-US</v>
    <v>Map</v>
  </rv>
  <rv s="0">
    <v>536870912</v>
    <v>Johnson County, Iowa</v>
    <v>eedd90bf-7762-07f9-142a-4c3a3b2a80d9</v>
    <v>en-US</v>
    <v>Map</v>
  </rv>
  <rv s="1">
    <fb>67.902278999999993</fb>
    <v>8</v>
  </rv>
  <rv s="0">
    <v>536870912</v>
    <v>United States</v>
    <v>e3ef53f2-d302-b22a-64a7-6e0ce65be769</v>
    <v>en-US</v>
    <v>Map</v>
  </rv>
  <rv s="2">
    <v>1</v>
    <v>6</v>
    <v>10</v>
    <v>7</v>
    <v>0</v>
    <v>Image of Iowa City, Iowa</v>
  </rv>
  <rv s="1">
    <fb>41.655833333333</fb>
    <v>9</v>
  </rv>
  <rv s="0">
    <v>805306368</v>
    <v>Bruce Teague (Mayor)</v>
    <v>25138bb0-7b58-9bcb-bbc9-a0b6786cbbae</v>
    <v>en-US</v>
    <v>Generic</v>
  </rv>
  <rv s="3">
    <v>2</v>
  </rv>
  <rv s="4">
    <v>https://www.bing.com/search?q=iowa+city&amp;form=skydnc</v>
    <v>Learn more on Bing</v>
  </rv>
  <rv s="1">
    <fb>-91.525000000000006</fb>
    <v>9</v>
  </rv>
  <rv s="1">
    <fb>76229</fb>
    <v>8</v>
  </rv>
  <rv s="5">
    <v>#VALUE!</v>
    <v>en-US</v>
    <v>718782b6-5665-4c6e-b820-08c2fbf47fbc</v>
    <v>536870912</v>
    <v>1</v>
    <v>11</v>
    <v>2</v>
    <v>Iowa City, Iowa</v>
    <v>4</v>
    <v>5</v>
    <v>Map</v>
    <v>6</v>
    <v>7</v>
    <v>15</v>
    <v>16</v>
    <v>17</v>
    <v>18</v>
    <v>Iowa City is the largest city in Johnson County, Iowa, United States, and its county seat. The population was 74,828 at the 2020 census, making it the state's fifth-most populous city. The Iowa City metropolitan area, which encompasses Johnson ...</v>
    <v>19</v>
    <v>20</v>
    <v>22</v>
    <v>23</v>
    <v>24</v>
    <v>Iowa City, Iowa</v>
    <v>25</v>
    <v>12</v>
    <v>Iowa City, Iowa</v>
    <v>mdp/vdpid/5093076569870565378</v>
  </rv>
  <rv s="0">
    <v>536870912</v>
    <v>Hanover</v>
    <v>8cbec06b-1881-ae51-6d9c-230e82b37dd8</v>
    <v>en-US</v>
    <v>Map</v>
  </rv>
  <rv s="0">
    <v>536870912</v>
    <v>Lower Saxony</v>
    <v>c91589e2-9db8-e9f2-b60d-1000c3502bc2</v>
    <v>en-US</v>
    <v>Map</v>
  </rv>
  <rv s="0">
    <v>536870912</v>
    <v>Hanover Region</v>
    <v>72426456-eb5d-447a-a76c-c0a66928509f</v>
    <v>en-US</v>
    <v>Map</v>
  </rv>
  <rv s="1">
    <fb>204.15</fb>
    <v>8</v>
  </rv>
  <rv s="0">
    <v>536870912</v>
    <v>Germany</v>
    <v>75c62d8e-1449-4e4d-b188-d9e88f878dd9</v>
    <v>en-US</v>
    <v>Map</v>
  </rv>
  <rv s="2">
    <v>2</v>
    <v>6</v>
    <v>12</v>
    <v>7</v>
    <v>0</v>
    <v>Image of Hanover</v>
  </rv>
  <rv s="1">
    <fb>52.374444444444002</fb>
    <v>9</v>
  </rv>
  <rv s="0">
    <v>805306368</v>
    <v>Belit Onay (Mayor)</v>
    <v>badae67f-fa74-405c-8aad-0b862c2cb5bd</v>
    <v>en-US</v>
    <v>Generic</v>
  </rv>
  <rv s="3">
    <v>3</v>
  </rv>
  <rv s="4">
    <v>https://www.bing.com/search?q=hanover+germany&amp;form=skydnc</v>
    <v>Learn more on Bing</v>
  </rv>
  <rv s="1">
    <fb>9.7386111111110996</fb>
    <v>9</v>
  </rv>
  <rv s="1">
    <fb>522131</fb>
    <v>8</v>
  </rv>
  <rv s="3">
    <v>4</v>
  </rv>
  <rv s="5">
    <v>#VALUE!</v>
    <v>en-US</v>
    <v>8cbec06b-1881-ae51-6d9c-230e82b37dd8</v>
    <v>536870912</v>
    <v>1</v>
    <v>13</v>
    <v>2</v>
    <v>Hanover</v>
    <v>4</v>
    <v>5</v>
    <v>Map</v>
    <v>6</v>
    <v>14</v>
    <v>28</v>
    <v>29</v>
    <v>30</v>
    <v>31</v>
    <v>Hanover is the capital and largest city of the German state of Lower Saxony. Its population of 535,932 makes it the 13th-largest city in Germany as well as the fourth-largest in northern Germany after Berlin, Hamburg and Bremen. Hanover's urban ...</v>
    <v>32</v>
    <v>33</v>
    <v>35</v>
    <v>36</v>
    <v>37</v>
    <v>Hanover</v>
    <v>38</v>
    <v>39</v>
    <v>Hanover</v>
    <v>mdp/vdpid/7011770605024313347</v>
  </rv>
  <rv s="0">
    <v>536870912</v>
    <v>Durham, North Carolina</v>
    <v>2c16d91e-65b1-4a70-88d6-5b04673cb178</v>
    <v>en-US</v>
    <v>Map</v>
  </rv>
  <rv s="0">
    <v>536870912</v>
    <v>North Carolina</v>
    <v>9e2bf053-dd80-4646-8f26-65075e7085c0</v>
    <v>en-US</v>
    <v>Map</v>
  </rv>
  <rv s="0">
    <v>536870912</v>
    <v>Durham County, North Carolina</v>
    <v>ab3c9af3-ac49-1873-90cc-9aad6ef7e42b</v>
    <v>en-US</v>
    <v>Map</v>
  </rv>
  <rv s="1">
    <fb>286.66231399999998</fb>
    <v>8</v>
  </rv>
  <rv s="2">
    <v>3</v>
    <v>6</v>
    <v>15</v>
    <v>7</v>
    <v>0</v>
    <v>Image of Durham, North Carolina</v>
  </rv>
  <rv s="1">
    <fb>35.9941666666667</fb>
    <v>9</v>
  </rv>
  <rv s="0">
    <v>805306368</v>
    <v>Leonardo Williams (Mayor)</v>
    <v>eac42880-d151-38fe-f852-99c8d9d7337d</v>
    <v>en-US</v>
    <v>Generic</v>
  </rv>
  <rv s="3">
    <v>5</v>
  </rv>
  <rv s="4">
    <v>https://www.bing.com/search?q=durham+north+carolina&amp;form=skydnc</v>
    <v>Learn more on Bing</v>
  </rv>
  <rv s="1">
    <fb>-78.898611111111094</fb>
    <v>9</v>
  </rv>
  <rv s="1">
    <fb>304014</fb>
    <v>8</v>
  </rv>
  <rv s="3">
    <v>6</v>
  </rv>
  <rv s="5">
    <v>#VALUE!</v>
    <v>en-US</v>
    <v>2c16d91e-65b1-4a70-88d6-5b04673cb178</v>
    <v>536870912</v>
    <v>1</v>
    <v>16</v>
    <v>2</v>
    <v>Durham, North Carolina</v>
    <v>4</v>
    <v>5</v>
    <v>Map</v>
    <v>6</v>
    <v>17</v>
    <v>42</v>
    <v>43</v>
    <v>44</v>
    <v>4</v>
    <v>Durham is a city in the U.S. state of North Carolina. The county seat of Durham County, small portions of the city limits extend into Orange County and Wake County. Durham is the 4th-most populous city in North Carolina and 70th-most populous ...</v>
    <v>45</v>
    <v>46</v>
    <v>48</v>
    <v>49</v>
    <v>50</v>
    <v>Durham, North Carolina</v>
    <v>51</v>
    <v>52</v>
    <v>Durham, North Carolina</v>
    <v>mdp/vdpid/5485031193508315137</v>
  </rv>
  <rv s="0">
    <v>536870912</v>
    <v>Pasadena, California</v>
    <v>fe2a8987-27c3-4b57-9e66-724ae2f778be</v>
    <v>en-US</v>
    <v>Map</v>
  </rv>
  <rv s="0">
    <v>536870912</v>
    <v>California</v>
    <v>3009d91d-d582-4c34-85ba-772ba09e5be1</v>
    <v>en-US</v>
    <v>Map</v>
  </rv>
  <rv s="0">
    <v>536870912</v>
    <v>Los Angeles County, California</v>
    <v>a22eb5ba-111e-51ea-f880-81d4f242d057</v>
    <v>en-US</v>
    <v>Map</v>
  </rv>
  <rv s="1">
    <fb>59.901735000000002</fb>
    <v>8</v>
  </rv>
  <rv s="2">
    <v>4</v>
    <v>6</v>
    <v>18</v>
    <v>7</v>
    <v>0</v>
    <v>Image of Pasadena, California</v>
  </rv>
  <rv s="1">
    <fb>34.147500000000001</fb>
    <v>9</v>
  </rv>
  <rv s="0">
    <v>805306368</v>
    <v>Victor Gordo (Mayor)</v>
    <v>2bcb7f25-e0f9-32b5-0b17-b724ea238f7f</v>
    <v>en-US</v>
    <v>Generic</v>
  </rv>
  <rv s="3">
    <v>7</v>
  </rv>
  <rv s="4">
    <v>https://www.bing.com/search?q=pasadena+california&amp;form=skydnc</v>
    <v>Learn more on Bing</v>
  </rv>
  <rv s="1">
    <fb>-118.14388888888899</fb>
    <v>9</v>
  </rv>
  <rv s="1">
    <fb>137195</fb>
    <v>8</v>
  </rv>
  <rv s="3">
    <v>8</v>
  </rv>
  <rv s="5">
    <v>#VALUE!</v>
    <v>en-US</v>
    <v>fe2a8987-27c3-4b57-9e66-724ae2f778be</v>
    <v>536870912</v>
    <v>1</v>
    <v>19</v>
    <v>2</v>
    <v>Pasadena, California</v>
    <v>4</v>
    <v>5</v>
    <v>Map</v>
    <v>6</v>
    <v>14</v>
    <v>55</v>
    <v>56</v>
    <v>57</v>
    <v>18</v>
    <v>Pasadena is a city in Los Angeles County, California, United States, 10 miles northeast of downtown Los Angeles. It is the most populous city and the primary cultural center of the San Gabriel Valley. Old Pasadena is the city's original ...</v>
    <v>58</v>
    <v>59</v>
    <v>61</v>
    <v>62</v>
    <v>63</v>
    <v>Pasadena, California</v>
    <v>64</v>
    <v>65</v>
    <v>Pasadena, California</v>
    <v>mdp/vdpid/5059776298751098881</v>
  </rv>
  <rv s="0">
    <v>536870912</v>
    <v>Pullman, Washington</v>
    <v>f6dd4f62-fa43-1e46-cd33-0fd22259684c</v>
    <v>en-US</v>
    <v>Map</v>
  </rv>
  <rv s="0">
    <v>536870912</v>
    <v>Washington</v>
    <v>982ad551-fd5d-45df-bd70-bf704dd576e4</v>
    <v>en-US</v>
    <v>Map</v>
  </rv>
  <rv s="0">
    <v>536870912</v>
    <v>Whitman County, Washington</v>
    <v>014e3b71-53f6-8ced-fa62-ea651acb234a</v>
    <v>en-US</v>
    <v>Map</v>
  </rv>
  <rv s="1">
    <fb>27.64</fb>
    <v>8</v>
  </rv>
  <rv s="2">
    <v>5</v>
    <v>6</v>
    <v>20</v>
    <v>7</v>
    <v>0</v>
    <v>Image of Pullman, Washington</v>
  </rv>
  <rv s="1">
    <fb>46.733333333333</fb>
    <v>9</v>
  </rv>
  <rv s="0">
    <v>805306368</v>
    <v>Francis Benjamin (Mayor)</v>
    <v>e83b1e36-270d-6f54-f40a-8dae1125cec7</v>
    <v>en-US</v>
    <v>Generic</v>
  </rv>
  <rv s="3">
    <v>9</v>
  </rv>
  <rv s="4">
    <v>https://www.bing.com/search?q=pullman+washington&amp;form=skydnc</v>
    <v>Learn more on Bing</v>
  </rv>
  <rv s="1">
    <fb>-117.16666666667</fb>
    <v>9</v>
  </rv>
  <rv s="1">
    <fb>33543</fb>
    <v>8</v>
  </rv>
  <rv s="5">
    <v>#VALUE!</v>
    <v>en-US</v>
    <v>f6dd4f62-fa43-1e46-cd33-0fd22259684c</v>
    <v>536870912</v>
    <v>1</v>
    <v>21</v>
    <v>2</v>
    <v>Pullman, Washington</v>
    <v>4</v>
    <v>5</v>
    <v>Map</v>
    <v>6</v>
    <v>14</v>
    <v>68</v>
    <v>69</v>
    <v>70</v>
    <v>4</v>
    <v>Pullman is the most populous city in Whitman County, located in southeastern Washington within the Palouse region of the Pacific Northwest. The population was 32,901 at the 2020 census, and estimated to be 33,543 in 2024. Originally founded as ...</v>
    <v>71</v>
    <v>72</v>
    <v>74</v>
    <v>75</v>
    <v>76</v>
    <v>Pullman, Washington</v>
    <v>77</v>
    <v>65</v>
    <v>Pullman, Washington</v>
    <v>mdp/vdpid/4862887176951562241</v>
  </rv>
  <rv s="0">
    <v>536870912</v>
    <v>Fairfax, Virginia</v>
    <v>95dfac71-be12-64c5-052d-f1a1f5fe1522</v>
    <v>en-US</v>
    <v>Map</v>
  </rv>
  <rv s="0">
    <v>536870912</v>
    <v>Virginia</v>
    <v>7eee9976-e8a7-472c-ada1-007208abd678</v>
    <v>en-US</v>
    <v>Map</v>
  </rv>
  <rv s="1">
    <fb>16.252178000000001</fb>
    <v>8</v>
  </rv>
  <rv s="2">
    <v>6</v>
    <v>6</v>
    <v>22</v>
    <v>7</v>
    <v>0</v>
    <v>Image of Fairfax, Virginia</v>
  </rv>
  <rv s="4">
    <v>https://www.bing.com/search?q=fairfax+virginia&amp;form=skydnc</v>
    <v>Learn more on Bing</v>
  </rv>
  <rv s="1">
    <fb>26772</fb>
    <v>8</v>
  </rv>
  <rv s="3">
    <v>10</v>
  </rv>
  <rv s="6">
    <v>#VALUE!</v>
    <v>en-US</v>
    <v>95dfac71-be12-64c5-052d-f1a1f5fe1522</v>
    <v>536870912</v>
    <v>1</v>
    <v>23</v>
    <v>24</v>
    <v>Fairfax, Virginia</v>
    <v>25</v>
    <v>5</v>
    <v>Map</v>
    <v>6</v>
    <v>7</v>
    <v>80</v>
    <v>81</v>
    <v>4</v>
    <v>Fairfax is an independent city in Virginia and the county seat of Fairfax County, Virginia, United States. As of the 2020 census, the population was 24,146. Fairfax is part of both the Washington metropolitan area and Northern Virginia regions. ...</v>
    <v>82</v>
    <v>83</v>
    <v>Fairfax, Virginia</v>
    <v>84</v>
    <v>85</v>
    <v>Fairfax, Virginia</v>
    <v>mdp/vdpid/10037653</v>
  </rv>
  <rv s="0">
    <v>536870912</v>
    <v>Medford, Oregon</v>
    <v>f7853167-1d84-468b-a98b-fcb1b3f2de20</v>
    <v>en-US</v>
    <v>Map</v>
  </rv>
  <rv s="0">
    <v>536870912</v>
    <v>Oregon</v>
    <v>cacd36fd-7c62-43e2-a632-64a2a1811933</v>
    <v>en-US</v>
    <v>Map</v>
  </rv>
  <rv s="0">
    <v>536870912</v>
    <v>Jackson County, Oregon</v>
    <v>94fa36cf-51f3-6af2-d63f-971e56a8e7c6</v>
    <v>en-US</v>
    <v>Map</v>
  </rv>
  <rv s="1">
    <fb>66.739329999999995</fb>
    <v>8</v>
  </rv>
  <rv s="2">
    <v>7</v>
    <v>6</v>
    <v>26</v>
    <v>7</v>
    <v>0</v>
    <v>Image of Medford, Oregon</v>
  </rv>
  <rv s="1">
    <fb>42.331940000000003</fb>
    <v>9</v>
  </rv>
  <rv s="0">
    <v>805306368</v>
    <v>Randy Sparacino (Mayor)</v>
    <v>1f8a52ca-4cc6-b5d8-704c-35447567ae2d</v>
    <v>en-US</v>
    <v>Generic</v>
  </rv>
  <rv s="3">
    <v>11</v>
  </rv>
  <rv s="4">
    <v>https://www.bing.com/search?q=medford+oregon&amp;form=skydnc</v>
    <v>Learn more on Bing</v>
  </rv>
  <rv s="1">
    <fb>-122.86167</fb>
    <v>9</v>
  </rv>
  <rv s="1">
    <fb>85824</fb>
    <v>8</v>
  </rv>
  <rv s="5">
    <v>#VALUE!</v>
    <v>en-US</v>
    <v>f7853167-1d84-468b-a98b-fcb1b3f2de20</v>
    <v>536870912</v>
    <v>1</v>
    <v>27</v>
    <v>2</v>
    <v>Medford, Oregon</v>
    <v>4</v>
    <v>5</v>
    <v>Map</v>
    <v>6</v>
    <v>28</v>
    <v>88</v>
    <v>89</v>
    <v>90</v>
    <v>18</v>
    <v>Medford is a city in and the county seat of Jackson County, Oregon, in the United States. As of the 2020 United States census the city had a total population of 85,824, making it the eighth-most populous city in Oregon, and a metropolitan area ...</v>
    <v>91</v>
    <v>92</v>
    <v>94</v>
    <v>95</v>
    <v>96</v>
    <v>Medford, Oregon</v>
    <v>97</v>
    <v>65</v>
    <v>Medford, Oregon</v>
    <v>mdp/vdpid/5053448617403088897</v>
  </rv>
  <rv s="0">
    <v>536870912</v>
    <v>Provo, Utah</v>
    <v>a681ce7a-6ea7-4ac8-9e0f-bf4ed6f182c0</v>
    <v>en-US</v>
    <v>Map</v>
  </rv>
  <rv s="0">
    <v>536870912</v>
    <v>Utah</v>
    <v>c6705e44-d27f-4240-95a2-54e802e3b524</v>
    <v>en-US</v>
    <v>Map</v>
  </rv>
  <rv s="0">
    <v>536870912</v>
    <v>Utah County, Utah</v>
    <v>8b65b32c-a603-7088-729d-2c844bcdad3c</v>
    <v>en-US</v>
    <v>Map</v>
  </rv>
  <rv s="1">
    <fb>114.397696</fb>
    <v>8</v>
  </rv>
  <rv s="2">
    <v>8</v>
    <v>6</v>
    <v>29</v>
    <v>7</v>
    <v>0</v>
    <v>Image of Provo, Utah</v>
  </rv>
  <rv s="1">
    <fb>40.233888888888899</fb>
    <v>9</v>
  </rv>
  <rv s="0">
    <v>805306368</v>
    <v>Marsha Judkins (Mayor)</v>
    <v>b0321b50-36d1-1142-0f46-257b997ccd17</v>
    <v>en-US</v>
    <v>Generic</v>
  </rv>
  <rv s="3">
    <v>12</v>
  </rv>
  <rv s="4">
    <v>https://www.bing.com/search?q=provo+utah&amp;form=skydnc</v>
    <v>Learn more on Bing</v>
  </rv>
  <rv s="1">
    <fb>-111.658611111111</fb>
    <v>9</v>
  </rv>
  <rv s="1">
    <fb>115162</fb>
    <v>8</v>
  </rv>
  <rv s="3">
    <v>13</v>
  </rv>
  <rv s="5">
    <v>#VALUE!</v>
    <v>en-US</v>
    <v>a681ce7a-6ea7-4ac8-9e0f-bf4ed6f182c0</v>
    <v>536870912</v>
    <v>1</v>
    <v>30</v>
    <v>2</v>
    <v>Provo, Utah</v>
    <v>4</v>
    <v>5</v>
    <v>Map</v>
    <v>6</v>
    <v>28</v>
    <v>100</v>
    <v>101</v>
    <v>102</v>
    <v>4</v>
    <v>Provo is a city in and the county seat of Utah County, Utah, United States. It is 43 miles south of Salt Lake City along the Wasatch Front, and lies between the cities of Orem to the north and Springville to the south. With a population at the ...</v>
    <v>103</v>
    <v>104</v>
    <v>106</v>
    <v>107</v>
    <v>108</v>
    <v>Provo, Utah</v>
    <v>109</v>
    <v>110</v>
    <v>Provo, Utah</v>
    <v>mdp/vdpid/5081525534685396993</v>
  </rv>
  <rv s="0">
    <v>536870912</v>
    <v>East Lansing, Michigan</v>
    <v>51222e8e-6d1d-5fcc-7eba-0dbfdc278d2b</v>
    <v>en-US</v>
    <v>Map</v>
  </rv>
  <rv s="0">
    <v>536870912</v>
    <v>Michigan</v>
    <v>162411c2-b757-495d-aa81-93942fae2f7e</v>
    <v>en-US</v>
    <v>Map</v>
  </rv>
  <rv s="0">
    <v>536870912</v>
    <v>Clinton County, Michigan</v>
    <v>5147efa6-7d86-76cb-4a4f-2a09a4fdd108</v>
    <v>en-US</v>
    <v>Map</v>
  </rv>
  <rv s="1">
    <fb>35.316009000000001</fb>
    <v>8</v>
  </rv>
  <rv s="2">
    <v>9</v>
    <v>6</v>
    <v>31</v>
    <v>7</v>
    <v>0</v>
    <v>Image of East Lansing, Michigan</v>
  </rv>
  <rv s="1">
    <fb>42.7348</fb>
    <v>9</v>
  </rv>
  <rv s="0">
    <v>805306368</v>
    <v>George Brookover (Mayor)</v>
    <v>3fbaf219-e491-28c7-6bd5-b1843dcad605</v>
    <v>en-US</v>
    <v>Generic</v>
  </rv>
  <rv s="3">
    <v>14</v>
  </rv>
  <rv s="4">
    <v>https://www.bing.com/search?q=east+lansing+michigan&amp;form=skydnc</v>
    <v>Learn more on Bing</v>
  </rv>
  <rv s="1">
    <fb>-84.480800000000002</fb>
    <v>9</v>
  </rv>
  <rv s="1">
    <fb>47741</fb>
    <v>8</v>
  </rv>
  <rv s="5">
    <v>#VALUE!</v>
    <v>en-US</v>
    <v>51222e8e-6d1d-5fcc-7eba-0dbfdc278d2b</v>
    <v>536870912</v>
    <v>1</v>
    <v>32</v>
    <v>2</v>
    <v>East Lansing, Michigan</v>
    <v>4</v>
    <v>5</v>
    <v>Map</v>
    <v>6</v>
    <v>28</v>
    <v>113</v>
    <v>114</v>
    <v>115</v>
    <v>18</v>
    <v>East Lansing is a city in the U.S. state of Michigan. Most of the city lies within Ingham County, although a small portion extends north into Clinton County. The city has a 2026 population of 49,435. The city is located immediately east of ...</v>
    <v>116</v>
    <v>117</v>
    <v>119</v>
    <v>120</v>
    <v>121</v>
    <v>East Lansing, Michigan</v>
    <v>122</v>
    <v>52</v>
    <v>East Lansing, Michigan</v>
    <v>mdp/vdpid/5477480426555572225</v>
  </rv>
  <rv s="0">
    <v>536870912</v>
    <v>Minneapolis</v>
    <v>def03125-42ba-47cd-8061-ee55f5c63e67</v>
    <v>en-US</v>
    <v>Map</v>
  </rv>
  <rv s="0">
    <v>536870912</v>
    <v>Minnesota</v>
    <v>77f97f6f-7e93-46e5-b486-6198effe8dea</v>
    <v>en-US</v>
    <v>Map</v>
  </rv>
  <rv s="0">
    <v>536870912</v>
    <v>Hennepin County, Minnesota</v>
    <v>6277a673-6452-bf90-7803-a4beecdaa970</v>
    <v>en-US</v>
    <v>Map</v>
  </rv>
  <rv s="1">
    <fb>148.841632</fb>
    <v>8</v>
  </rv>
  <rv s="2">
    <v>10</v>
    <v>6</v>
    <v>33</v>
    <v>7</v>
    <v>0</v>
    <v>Image of Minneapolis</v>
  </rv>
  <rv s="1">
    <fb>44.981944444444402</fb>
    <v>9</v>
  </rv>
  <rv s="0">
    <v>805306368</v>
    <v>Jacob Frey (Mayor)</v>
    <v>41a9a5df-60a5-4dba-bf84-fc78d87ba0ed</v>
    <v>en-US</v>
    <v>Generic</v>
  </rv>
  <rv s="3">
    <v>15</v>
  </rv>
  <rv s="4">
    <v>https://www.bing.com/search?q=minneapolis&amp;form=skydnc</v>
    <v>Learn more on Bing</v>
  </rv>
  <rv s="1">
    <fb>-93.269166666666706</fb>
    <v>9</v>
  </rv>
  <rv s="1">
    <fb>430324</fb>
    <v>8</v>
  </rv>
  <rv s="5">
    <v>#VALUE!</v>
    <v>en-US</v>
    <v>def03125-42ba-47cd-8061-ee55f5c63e67</v>
    <v>536870912</v>
    <v>1</v>
    <v>34</v>
    <v>2</v>
    <v>Minneapolis</v>
    <v>4</v>
    <v>5</v>
    <v>Map</v>
    <v>6</v>
    <v>7</v>
    <v>125</v>
    <v>126</v>
    <v>127</v>
    <v>4</v>
    <v>Minneapolis is a city in Hennepin County, Minnesota, United States, and its county seat. With a population of 429,954 as of the 2020 census, it is the state's most populous city. Located in the state's center near the eastern border, it occupies ...</v>
    <v>128</v>
    <v>129</v>
    <v>131</v>
    <v>132</v>
    <v>133</v>
    <v>Minneapolis</v>
    <v>134</v>
    <v>12</v>
    <v>Minneapolis</v>
    <v>mdp/vdpid/5091499307454955522</v>
  </rv>
  <rv s="0">
    <v>536870912</v>
    <v>Rochester, New York</v>
    <v>879e4c16-f735-411f-bdf9-0af621dad8ad</v>
    <v>en-US</v>
    <v>Map</v>
  </rv>
  <rv s="0">
    <v>536870912</v>
    <v>New York</v>
    <v>caeb7b9a-f5d7-4686-8fb5-cf7628296b13</v>
    <v>en-US</v>
    <v>Map</v>
  </rv>
  <rv s="0">
    <v>536870912</v>
    <v>Monroe County, New York</v>
    <v>830d08b4-d610-0ba3-8303-bebac3655d17</v>
    <v>en-US</v>
    <v>Map</v>
  </rv>
  <rv s="1">
    <fb>96.225189</fb>
    <v>8</v>
  </rv>
  <rv s="2">
    <v>11</v>
    <v>6</v>
    <v>35</v>
    <v>7</v>
    <v>0</v>
    <v>Image of Rochester, New York</v>
  </rv>
  <rv s="1">
    <fb>43.165555555555997</fb>
    <v>9</v>
  </rv>
  <rv s="0">
    <v>805306368</v>
    <v>Malik Evans (Mayor)</v>
    <v>a9354d68-f913-ea9e-c05a-249b13279c02</v>
    <v>en-US</v>
    <v>Generic</v>
  </rv>
  <rv s="3">
    <v>16</v>
  </rv>
  <rv s="4">
    <v>https://www.bing.com/search?q=rochester+new+york&amp;form=skydnc</v>
    <v>Learn more on Bing</v>
  </rv>
  <rv s="1">
    <fb>-77.611388888888996</fb>
    <v>9</v>
  </rv>
  <rv s="1">
    <fb>206108</fb>
    <v>8</v>
  </rv>
  <rv s="5">
    <v>#VALUE!</v>
    <v>en-US</v>
    <v>879e4c16-f735-411f-bdf9-0af621dad8ad</v>
    <v>536870912</v>
    <v>1</v>
    <v>36</v>
    <v>2</v>
    <v>Rochester, New York</v>
    <v>4</v>
    <v>5</v>
    <v>Map</v>
    <v>6</v>
    <v>7</v>
    <v>137</v>
    <v>138</v>
    <v>139</v>
    <v>18</v>
    <v>Rochester is a city in and the county seat of Monroe County, New York, United States. It is the fourth-most populous city in New York, with a population of 206,108 as of the 2025 Census estimate. The Rochester metropolitan area in Western New ...</v>
    <v>140</v>
    <v>141</v>
    <v>143</v>
    <v>144</v>
    <v>145</v>
    <v>Rochester, New York</v>
    <v>146</v>
    <v>52</v>
    <v>Rochester, New York</v>
    <v>mdp/vdpid/5485728622276771841</v>
  </rv>
  <rv s="0">
    <v>536870912</v>
    <v>Pittsburgh</v>
    <v>67b9bd42-dc58-455c-9858-ece11da6a2fd</v>
    <v>en-US</v>
    <v>Map</v>
  </rv>
  <rv s="0">
    <v>536870912</v>
    <v>Pennsylvania</v>
    <v>6304580e-c803-4266-818a-971619176547</v>
    <v>en-US</v>
    <v>Map</v>
  </rv>
  <rv s="0">
    <v>536870912</v>
    <v>Allegheny County, Pennsylvania</v>
    <v>0545943c-8c71-ab81-283b-fb5f8f3bcb81</v>
    <v>en-US</v>
    <v>Map</v>
  </rv>
  <rv s="1">
    <fb>151</fb>
    <v>8</v>
  </rv>
  <rv s="2">
    <v>12</v>
    <v>6</v>
    <v>37</v>
    <v>7</v>
    <v>0</v>
    <v>Image of Pittsburgh</v>
  </rv>
  <rv s="1">
    <fb>40.441666666666698</fb>
    <v>9</v>
  </rv>
  <rv s="0">
    <v>805306368</v>
    <v>Corey O'Connor (Mayor)</v>
    <v>4abd25d9-655c-2063-2210-e25ed9ff3344</v>
    <v>en-US</v>
    <v>Generic</v>
  </rv>
  <rv s="3">
    <v>17</v>
  </rv>
  <rv s="4">
    <v>https://www.bing.com/search?q=pittsburgh&amp;form=skydnc</v>
    <v>Learn more on Bing</v>
  </rv>
  <rv s="1">
    <fb>-80</fb>
    <v>9</v>
  </rv>
  <rv s="1">
    <fb>307668</fb>
    <v>8</v>
  </rv>
  <rv s="5">
    <v>#VALUE!</v>
    <v>en-US</v>
    <v>67b9bd42-dc58-455c-9858-ece11da6a2fd</v>
    <v>536870912</v>
    <v>1</v>
    <v>38</v>
    <v>2</v>
    <v>Pittsburgh</v>
    <v>4</v>
    <v>5</v>
    <v>Map</v>
    <v>6</v>
    <v>14</v>
    <v>149</v>
    <v>150</v>
    <v>151</v>
    <v>18</v>
    <v>Pittsburgh is a city in Allegheny County, Pennsylvania, United States, and its county seat. Located in southwestern Pennsylvania where the Allegheny and Monongahela Rivers meet to form the Ohio River, it had a population of 302,971 at the 2020 ...</v>
    <v>152</v>
    <v>153</v>
    <v>155</v>
    <v>156</v>
    <v>157</v>
    <v>Pittsburgh</v>
    <v>158</v>
    <v>52</v>
    <v>Pittsburgh</v>
    <v>mdp/vdpid/5480746593323843587</v>
  </rv>
  <rv s="0">
    <v>536870912</v>
    <v>New Brunswick</v>
    <v>ed967bed-da27-9206-2407-d4e698015192</v>
    <v>en-US</v>
    <v>Map</v>
  </rv>
  <rv s="1">
    <fb>72908</fb>
    <v>8</v>
  </rv>
  <rv s="1">
    <fb>28197</fb>
    <v>8</v>
  </rv>
  <rv s="0">
    <v>536870912</v>
    <v>Fredericton</v>
    <v>f8277c80-664a-fe91-f942-cedf5e0f493d</v>
    <v>en-US</v>
    <v>Map</v>
  </rv>
  <rv s="0">
    <v>536870912</v>
    <v>Canada</v>
    <v>370ed614-32e1-4326-a356-dc0a7dd56aaa</v>
    <v>en-US</v>
    <v>Map</v>
  </rv>
  <rv s="1">
    <fb>319770</fb>
    <v>8</v>
  </rv>
  <rv s="1">
    <fb>319773</fb>
    <v>8</v>
  </rv>
  <rv s="2">
    <v>13</v>
    <v>6</v>
    <v>39</v>
    <v>7</v>
    <v>0</v>
    <v>Image of New Brunswick</v>
  </rv>
  <rv s="0">
    <v>536870912</v>
    <v>Moncton</v>
    <v>d55df709-f936-f551-544b-e6d0c1f6ad49</v>
    <v>en-US</v>
    <v>Map</v>
  </rv>
  <rv s="0">
    <v>805306368</v>
    <v>Louise Imbeault (Lieutenant governor)</v>
    <v>4be00829-e9cc-a919-9438-4249b6e1bf9b</v>
    <v>en-US</v>
    <v>Generic</v>
  </rv>
  <rv s="0">
    <v>805306368</v>
    <v>Susan Holt (Premier)</v>
    <v>8dd05e6f-77a9-76db-2fec-2ed2b81e048c</v>
    <v>en-US</v>
    <v>Generic</v>
  </rv>
  <rv s="3">
    <v>18</v>
  </rv>
  <rv s="4">
    <v>https://www.bing.com/search?q=new+brunswick+canada&amp;form=skydnc</v>
    <v>Learn more on Bing</v>
  </rv>
  <rv s="1">
    <fb>72330</fb>
    <v>46</v>
  </rv>
  <rv s="3">
    <v>19</v>
  </rv>
  <rv s="1">
    <fb>2.2999999999999998</fb>
    <v>47</v>
  </rv>
  <rv s="1">
    <fb>775610</fb>
    <v>8</v>
  </rv>
  <rv s="3">
    <v>20</v>
  </rv>
  <rv s="7">
    <v>#VALUE!</v>
    <v>en-US</v>
    <v>ed967bed-da27-9206-2407-d4e698015192</v>
    <v>536870912</v>
    <v>1</v>
    <v>43</v>
    <v>44</v>
    <v>New Brunswick</v>
    <v>4</v>
    <v>5</v>
    <v>Map</v>
    <v>6</v>
    <v>45</v>
    <v>CA-NB</v>
    <v>161</v>
    <v>162</v>
    <v>163</v>
    <v>164</v>
    <v>New Brunswick is a province of Canada, bordering Quebec to the northwest, the Gulf of Saint Lawrence to the northeast, Nova Scotia to the east, the Bay of Fundy to the southeast, and the U.S. state of Maine to the southwest. It is part of ...</v>
    <v>165</v>
    <v>166</v>
    <v>167</v>
    <v>168</v>
    <v>171</v>
    <v>172</v>
    <v>173</v>
    <v>New Brunswick</v>
    <v>174</v>
    <v>175</v>
    <v>176</v>
    <v>177</v>
    <v>New Brunswick</v>
    <v>mdp/vdpid/23074</v>
  </rv>
  <rv s="0">
    <v>536870912</v>
    <v>Eugene, Oregon</v>
    <v>4032220a-5e63-4fc1-87cf-eb758cc5b5b6</v>
    <v>en-US</v>
    <v>Map</v>
  </rv>
  <rv s="0">
    <v>536870912</v>
    <v>Lane County, Oregon</v>
    <v>51444236-e956-9a37-a5a4-47b5511e19f9</v>
    <v>en-US</v>
    <v>Map</v>
  </rv>
  <rv s="1">
    <fb>114.33244999999999</fb>
    <v>8</v>
  </rv>
  <rv s="2">
    <v>14</v>
    <v>6</v>
    <v>48</v>
    <v>7</v>
    <v>0</v>
    <v>Image of Eugene, Oregon</v>
  </rv>
  <rv s="1">
    <fb>44.052222222222198</fb>
    <v>9</v>
  </rv>
  <rv s="0">
    <v>805306368</v>
    <v>Kaarin Knudson (Mayor)</v>
    <v>72148156-1a1c-5dc0-38be-ae80816ef55e</v>
    <v>en-US</v>
    <v>Generic</v>
  </rv>
  <rv s="3">
    <v>21</v>
  </rv>
  <rv s="4">
    <v>https://www.bing.com/search?q=eugene+oregon&amp;form=skydnc</v>
    <v>Learn more on Bing</v>
  </rv>
  <rv s="1">
    <fb>-123.0925</fb>
    <v>9</v>
  </rv>
  <rv s="1">
    <fb>176654</fb>
    <v>8</v>
  </rv>
  <rv s="5">
    <v>#VALUE!</v>
    <v>en-US</v>
    <v>4032220a-5e63-4fc1-87cf-eb758cc5b5b6</v>
    <v>536870912</v>
    <v>1</v>
    <v>49</v>
    <v>2</v>
    <v>Eugene, Oregon</v>
    <v>4</v>
    <v>5</v>
    <v>Map</v>
    <v>6</v>
    <v>28</v>
    <v>88</v>
    <v>180</v>
    <v>181</v>
    <v>4</v>
    <v>Eugene is a city in and the county seat of Lane County, Oregon, United States. It is located at the southern end of the Willamette Valley, near the confluence of the McKenzie and Willamette rivers, about 50 miles east of the Oregon Coast and ...</v>
    <v>182</v>
    <v>183</v>
    <v>185</v>
    <v>186</v>
    <v>187</v>
    <v>Eugene, Oregon</v>
    <v>188</v>
    <v>65</v>
    <v>Eugene, Oregon</v>
    <v>mdp/vdpid/5053125603482402818</v>
  </rv>
  <rv s="0">
    <v>536870912</v>
    <v>Lincoln, Nebraska</v>
    <v>38974d3e-7769-4d06-b772-31a57932a126</v>
    <v>en-US</v>
    <v>Map</v>
  </rv>
  <rv s="0">
    <v>536870912</v>
    <v>Nebraska</v>
    <v>3e64ff5d-6b40-4dbe-91b1-0e554e892496</v>
    <v>en-US</v>
    <v>Map</v>
  </rv>
  <rv s="0">
    <v>536870912</v>
    <v>Lancaster County, Nebraska</v>
    <v>6216a18b-b7cd-7438-30eb-a64bb4114838</v>
    <v>en-US</v>
    <v>Map</v>
  </rv>
  <rv s="1">
    <fb>256.53800000000001</fb>
    <v>8</v>
  </rv>
  <rv s="2">
    <v>15</v>
    <v>6</v>
    <v>50</v>
    <v>7</v>
    <v>0</v>
    <v>Image of Lincoln, Nebraska</v>
  </rv>
  <rv s="1">
    <fb>40.809166666666698</fb>
    <v>9</v>
  </rv>
  <rv s="0">
    <v>805306368</v>
    <v>Leirion Gaylor Baird (Mayor)</v>
    <v>3d746e46-62c8-a5f7-eaf2-555f5d3aef49</v>
    <v>en-US</v>
    <v>Generic</v>
  </rv>
  <rv s="3">
    <v>22</v>
  </rv>
  <rv s="4">
    <v>https://www.bing.com/search?q=lincoln+nebraska&amp;form=skydnc</v>
    <v>Learn more on Bing</v>
  </rv>
  <rv s="1">
    <fb>-96.678055555555602</fb>
    <v>9</v>
  </rv>
  <rv s="1">
    <fb>300619</fb>
    <v>8</v>
  </rv>
  <rv s="5">
    <v>#VALUE!</v>
    <v>en-US</v>
    <v>38974d3e-7769-4d06-b772-31a57932a126</v>
    <v>536870912</v>
    <v>1</v>
    <v>51</v>
    <v>2</v>
    <v>Lincoln, Nebraska</v>
    <v>4</v>
    <v>5</v>
    <v>Map</v>
    <v>6</v>
    <v>14</v>
    <v>191</v>
    <v>192</v>
    <v>193</v>
    <v>4</v>
    <v>Lincoln is the capital city of the U.S. state of Nebraska. The city covers 103.9 square miles and had a population of 291,082 as of the 2020 census. It is the second-most populous city in Nebraska and the 72nd-most populous in the United States. ...</v>
    <v>194</v>
    <v>195</v>
    <v>197</v>
    <v>198</v>
    <v>199</v>
    <v>Lincoln, Nebraska</v>
    <v>200</v>
    <v>12</v>
    <v>Lincoln, Nebraska</v>
    <v>mdp/vdpid/5090993809047683073</v>
  </rv>
  <rv s="0">
    <v>536870912</v>
    <v>Santa Barbara, California</v>
    <v>bac0bf4b-4a8d-4d9b-90bf-b5fa0131dbc5</v>
    <v>en-US</v>
    <v>Map</v>
  </rv>
  <rv s="0">
    <v>536870912</v>
    <v>Santa Barbara County, California</v>
    <v>85ee1f1c-db3a-b070-273b-60933808fdf6</v>
    <v>en-US</v>
    <v>Map</v>
  </rv>
  <rv s="1">
    <fb>108.753384</fb>
    <v>8</v>
  </rv>
  <rv s="2">
    <v>16</v>
    <v>6</v>
    <v>52</v>
    <v>7</v>
    <v>0</v>
    <v>Image of Santa Barbara, California</v>
  </rv>
  <rv s="1">
    <fb>34.425833333333003</fb>
    <v>9</v>
  </rv>
  <rv s="0">
    <v>805306368</v>
    <v>Randy Rowse (Mayor)</v>
    <v>19bac65f-4cfc-ab6f-a9ce-7f19b65c3e42</v>
    <v>en-US</v>
    <v>Generic</v>
  </rv>
  <rv s="0">
    <v>805306368</v>
    <v>Monique Limón (Senate)</v>
    <v>1fb8c829-fa65-6af8-7a06-e2d09a6a6871</v>
    <v>en-US</v>
    <v>Generic</v>
  </rv>
  <rv s="3">
    <v>23</v>
  </rv>
  <rv s="4">
    <v>https://www.bing.com/search?q=santa+barbara+california&amp;form=skydnc</v>
    <v>Learn more on Bing</v>
  </rv>
  <rv s="1">
    <fb>-119.71416666667</fb>
    <v>9</v>
  </rv>
  <rv s="1">
    <fb>88665</fb>
    <v>8</v>
  </rv>
  <rv s="5">
    <v>#VALUE!</v>
    <v>en-US</v>
    <v>bac0bf4b-4a8d-4d9b-90bf-b5fa0131dbc5</v>
    <v>536870912</v>
    <v>1</v>
    <v>53</v>
    <v>2</v>
    <v>Santa Barbara, California</v>
    <v>4</v>
    <v>5</v>
    <v>Map</v>
    <v>6</v>
    <v>28</v>
    <v>55</v>
    <v>203</v>
    <v>204</v>
    <v>18</v>
    <v>Santa Barbara is a coastal city in Santa Barbara County, California, of which it is also the county seat. Situated on a south-facing section of coastline, the longest such section on the West Coast of the United States excepting Alaska, the city ...</v>
    <v>205</v>
    <v>206</v>
    <v>209</v>
    <v>210</v>
    <v>211</v>
    <v>Santa Barbara, California</v>
    <v>212</v>
    <v>65</v>
    <v>Santa Barbara, California</v>
    <v>mdp/vdpid/5059629481233219586</v>
  </rv>
  <rv s="0">
    <v>536870912</v>
    <v>Irvine, California</v>
    <v>79ff86cc-27eb-4f12-9406-85d238f37ef3</v>
    <v>en-US</v>
    <v>Map</v>
  </rv>
  <rv s="0">
    <v>536870912</v>
    <v>Orange County, California</v>
    <v>47483b51-bcd6-530c-4c8c-53a8bd85ad87</v>
    <v>en-US</v>
    <v>Map</v>
  </rv>
  <rv s="1">
    <fb>170.74247600000001</fb>
    <v>8</v>
  </rv>
  <rv s="2">
    <v>17</v>
    <v>6</v>
    <v>54</v>
    <v>7</v>
    <v>0</v>
    <v>Image of Irvine, California</v>
  </rv>
  <rv s="1">
    <fb>33.684166666666997</fb>
    <v>9</v>
  </rv>
  <rv s="0">
    <v>805306368</v>
    <v>Larry Agran (Mayor)</v>
    <v>2eaef76d-cf1c-4d61-a77f-62e67d017c05</v>
    <v>en-US</v>
    <v>Generic</v>
  </rv>
  <rv s="3">
    <v>24</v>
  </rv>
  <rv s="4">
    <v>https://www.bing.com/search?q=irvine+california&amp;form=skydnc</v>
    <v>Learn more on Bing</v>
  </rv>
  <rv s="1">
    <fb>-117.7925</fb>
    <v>9</v>
  </rv>
  <rv s="1">
    <fb>307670</fb>
    <v>8</v>
  </rv>
  <rv s="5">
    <v>#VALUE!</v>
    <v>en-US</v>
    <v>79ff86cc-27eb-4f12-9406-85d238f37ef3</v>
    <v>536870912</v>
    <v>1</v>
    <v>55</v>
    <v>2</v>
    <v>Irvine, California</v>
    <v>4</v>
    <v>5</v>
    <v>Map</v>
    <v>6</v>
    <v>28</v>
    <v>55</v>
    <v>215</v>
    <v>216</v>
    <v>18</v>
    <v>Irvine is a planned city in central Orange County, California, United States, in the Los Angeles metropolitan area. It was named in 1888 for the landowner James Irvine. The Irvine Company started developing the area in the 1960s. The city was ...</v>
    <v>217</v>
    <v>218</v>
    <v>220</v>
    <v>221</v>
    <v>222</v>
    <v>Irvine, California</v>
    <v>223</v>
    <v>65</v>
    <v>Irvine, California</v>
    <v>mdp/vdpid/5073308057761480705</v>
  </rv>
  <rv s="0">
    <v>536870912</v>
    <v>Gainesville, Florida</v>
    <v>427c8860-93c4-456a-a429-5fab38c59aba</v>
    <v>en-US</v>
    <v>Map</v>
  </rv>
  <rv s="0">
    <v>536870912</v>
    <v>Florida</v>
    <v>5fece3f4-e8e8-4159-843e-f725a930ad50</v>
    <v>en-US</v>
    <v>Map</v>
  </rv>
  <rv s="0">
    <v>536870912</v>
    <v>Alachua County, Florida</v>
    <v>1592bece-0bee-3c00-6911-ffe7d3ae6d20</v>
    <v>en-US</v>
    <v>Map</v>
  </rv>
  <rv s="1">
    <fb>164.42881199999999</fb>
    <v>8</v>
  </rv>
  <rv s="2">
    <v>18</v>
    <v>6</v>
    <v>56</v>
    <v>7</v>
    <v>0</v>
    <v>Image of Gainesville, Florida</v>
  </rv>
  <rv s="1">
    <fb>29.665277777778002</fb>
    <v>9</v>
  </rv>
  <rv s="0">
    <v>805306368</v>
    <v>Harvey Ward (Mayor)</v>
    <v>effc3779-3a81-2a7f-52a9-f44a2f9de85a</v>
    <v>en-US</v>
    <v>Generic</v>
  </rv>
  <rv s="3">
    <v>25</v>
  </rv>
  <rv s="4">
    <v>https://www.bing.com/search?q=gainesville+florida&amp;form=skydnc</v>
    <v>Learn more on Bing</v>
  </rv>
  <rv s="1">
    <fb>-82.336111111110995</fb>
    <v>9</v>
  </rv>
  <rv s="1">
    <fb>145214</fb>
    <v>8</v>
  </rv>
  <rv s="5">
    <v>#VALUE!</v>
    <v>en-US</v>
    <v>427c8860-93c4-456a-a429-5fab38c59aba</v>
    <v>536870912</v>
    <v>1</v>
    <v>57</v>
    <v>2</v>
    <v>Gainesville, Florida</v>
    <v>4</v>
    <v>5</v>
    <v>Map</v>
    <v>6</v>
    <v>58</v>
    <v>226</v>
    <v>227</v>
    <v>228</v>
    <v>18</v>
    <v>Gainesville is a city in and the county seat of Alachua County, Florida, United States. It is the most populous city in North Central Florida with a population of 141,085 at the 2020 census, while the Gainesville metropolitan area has an ...</v>
    <v>229</v>
    <v>230</v>
    <v>232</v>
    <v>233</v>
    <v>234</v>
    <v>Gainesville, Florida</v>
    <v>235</v>
    <v>52</v>
    <v>Gainesville, Florida</v>
    <v>mdp/vdpid/5498014218403708929</v>
  </rv>
  <rv s="0">
    <v>536870912</v>
    <v>Newark, New Jersey</v>
    <v>12526fe6-792c-45e6-8124-54fec8a5d9e0</v>
    <v>en-US</v>
    <v>Map</v>
  </rv>
  <rv s="0">
    <v>536870912</v>
    <v>New Jersey</v>
    <v>05277898-b62b-4878-8632-09d29756a2ff</v>
    <v>en-US</v>
    <v>Map</v>
  </rv>
  <rv s="0">
    <v>536870912</v>
    <v>Essex County, New Jersey</v>
    <v>def6c73e-051c-58a1-0b7c-3dac145b9489</v>
    <v>en-US</v>
    <v>Map</v>
  </rv>
  <rv s="1">
    <fb>67.040795000000003</fb>
    <v>8</v>
  </rv>
  <rv s="2">
    <v>19</v>
    <v>6</v>
    <v>59</v>
    <v>7</v>
    <v>0</v>
    <v>Image of Newark, New Jersey</v>
  </rv>
  <rv s="1">
    <fb>40.735555555555599</fb>
    <v>9</v>
  </rv>
  <rv s="0">
    <v>805306368</v>
    <v>Ras Baraka (Mayor)</v>
    <v>de74b374-3781-bd0b-73fa-a9fc2d828925</v>
    <v>en-US</v>
    <v>Generic</v>
  </rv>
  <rv s="3">
    <v>26</v>
  </rv>
  <rv s="4">
    <v>https://www.bing.com/search?q=newark+new+jersey&amp;form=skydnc</v>
    <v>Learn more on Bing</v>
  </rv>
  <rv s="1">
    <fb>-74.172222222222203</fb>
    <v>9</v>
  </rv>
  <rv s="1">
    <fb>317303</fb>
    <v>8</v>
  </rv>
  <rv s="5">
    <v>#VALUE!</v>
    <v>en-US</v>
    <v>12526fe6-792c-45e6-8124-54fec8a5d9e0</v>
    <v>536870912</v>
    <v>1</v>
    <v>60</v>
    <v>2</v>
    <v>Newark, New Jersey</v>
    <v>4</v>
    <v>5</v>
    <v>Map</v>
    <v>6</v>
    <v>14</v>
    <v>238</v>
    <v>239</v>
    <v>240</v>
    <v>4</v>
    <v>Newark is the most populous city in the U.S. state of New Jersey, the county seat of Essex County, and a principal city of the New York metropolitan area. As of the 2020 census, the city's population was 311,549. The Population Estimates Program ...</v>
    <v>241</v>
    <v>242</v>
    <v>244</v>
    <v>245</v>
    <v>246</v>
    <v>Newark, New Jersey</v>
    <v>247</v>
    <v>52</v>
    <v>Newark, New Jersey</v>
    <v>mdp/vdpid/5487504505270435842</v>
  </rv>
  <rv s="0">
    <v>536870912</v>
    <v>Salt Lake City</v>
    <v>520b8048-39fe-4c55-8cbf-a52f9d8756fd</v>
    <v>en-US</v>
    <v>Map</v>
  </rv>
  <rv s="0">
    <v>536870912</v>
    <v>Salt Lake County, Utah</v>
    <v>4de16a24-172b-170c-1217-486126e2ddd9</v>
    <v>en-US</v>
    <v>Map</v>
  </rv>
  <rv s="1">
    <fb>289.26125100000002</fb>
    <v>8</v>
  </rv>
  <rv s="2">
    <v>20</v>
    <v>6</v>
    <v>61</v>
    <v>7</v>
    <v>0</v>
    <v>Image of Salt Lake City</v>
  </rv>
  <rv s="1">
    <fb>40.75</fb>
    <v>9</v>
  </rv>
  <rv s="0">
    <v>805306368</v>
    <v>Erin Mendenhall (Mayor)</v>
    <v>da12fad7-cac7-65a3-e660-2e8f6a82b91e</v>
    <v>en-US</v>
    <v>Generic</v>
  </rv>
  <rv s="3">
    <v>27</v>
  </rv>
  <rv s="4">
    <v>https://www.bing.com/search?q=salt+lake+city+utah&amp;form=skydnc</v>
    <v>Learn more on Bing</v>
  </rv>
  <rv s="1">
    <fb>-111.88333333333</fb>
    <v>9</v>
  </rv>
  <rv s="1">
    <fb>215548</fb>
    <v>8</v>
  </rv>
  <rv s="5">
    <v>#VALUE!</v>
    <v>en-US</v>
    <v>520b8048-39fe-4c55-8cbf-a52f9d8756fd</v>
    <v>536870912</v>
    <v>1</v>
    <v>62</v>
    <v>2</v>
    <v>Salt Lake City</v>
    <v>4</v>
    <v>5</v>
    <v>Map</v>
    <v>6</v>
    <v>7</v>
    <v>100</v>
    <v>250</v>
    <v>251</v>
    <v>4</v>
    <v>Salt Lake City, often shortened to Salt Lake or SLC, is the capital and most populous city of the U.S. state of Utah. It is the county seat of Salt Lake County, the most populous county in the state. The population was 199,723 at the 2020 ...</v>
    <v>252</v>
    <v>253</v>
    <v>255</v>
    <v>256</v>
    <v>257</v>
    <v>Salt Lake City</v>
    <v>258</v>
    <v>110</v>
    <v>Salt Lake City</v>
    <v>mdp/vdpid/5081478942645288961</v>
  </rv>
  <rv s="0">
    <v>536870912</v>
    <v>Madison, Wisconsin</v>
    <v>65426cc9-93eb-4569-8c2e-3b7c1b070278</v>
    <v>en-US</v>
    <v>Map</v>
  </rv>
  <rv s="0">
    <v>536870912</v>
    <v>Wisconsin</v>
    <v>cb4d2853-06f4-4467-8e7c-4e31cbb35cb2</v>
    <v>en-US</v>
    <v>Map</v>
  </rv>
  <rv s="0">
    <v>536870912</v>
    <v>Dane County, Wisconsin</v>
    <v>3b3389e0-12ab-150f-3bf7-f1cc39aac910</v>
    <v>en-US</v>
    <v>Map</v>
  </rv>
  <rv s="1">
    <fb>243.830589</fb>
    <v>8</v>
  </rv>
  <rv s="2">
    <v>21</v>
    <v>6</v>
    <v>63</v>
    <v>7</v>
    <v>0</v>
    <v>Image of Madison, Wisconsin</v>
  </rv>
  <rv s="1">
    <fb>43.074722222222199</fb>
    <v>9</v>
  </rv>
  <rv s="0">
    <v>805306368</v>
    <v>Satya Rhodes-Conway (Mayor)</v>
    <v>8ab986b9-1a02-ac53-91be-2381f1330ce1</v>
    <v>en-US</v>
    <v>Generic</v>
  </rv>
  <rv s="3">
    <v>28</v>
  </rv>
  <rv s="4">
    <v>https://www.bing.com/search?q=madison+wisconsin&amp;form=skydnc</v>
    <v>Learn more on Bing</v>
  </rv>
  <rv s="1">
    <fb>-89.384166666666701</fb>
    <v>9</v>
  </rv>
  <rv s="1">
    <fb>285300</fb>
    <v>8</v>
  </rv>
  <rv s="5">
    <v>#VALUE!</v>
    <v>en-US</v>
    <v>65426cc9-93eb-4569-8c2e-3b7c1b070278</v>
    <v>536870912</v>
    <v>1</v>
    <v>64</v>
    <v>2</v>
    <v>Madison, Wisconsin</v>
    <v>4</v>
    <v>5</v>
    <v>Map</v>
    <v>6</v>
    <v>14</v>
    <v>261</v>
    <v>262</v>
    <v>263</v>
    <v>4</v>
    <v>Madison is the capital of the U.S. state of Wisconsin. It is the second-most populous city in the state, with a population of 269,840 at the 2020 census. The Madison metropolitan area has an estimated 708,000 residents. With a downtown centrally ...</v>
    <v>264</v>
    <v>265</v>
    <v>267</v>
    <v>268</v>
    <v>269</v>
    <v>Madison, Wisconsin</v>
    <v>270</v>
    <v>12</v>
    <v>Madison, Wisconsin</v>
    <v>mdp/vdpid/5476688856667389983</v>
  </rv>
  <rv s="0">
    <v>536870912</v>
    <v>Raleigh, North Carolina</v>
    <v>7b706445-83c5-46a4-bb70-cff23cd555d3</v>
    <v>en-US</v>
    <v>Map</v>
  </rv>
  <rv s="0">
    <v>536870912</v>
    <v>Wake County, North Carolina</v>
    <v>5d2644c4-0b7e-4769-7be2-6dc8acf2c6d0</v>
    <v>en-US</v>
    <v>Map</v>
  </rv>
  <rv s="1">
    <fb>378.616963</fb>
    <v>8</v>
  </rv>
  <rv s="2">
    <v>22</v>
    <v>6</v>
    <v>65</v>
    <v>7</v>
    <v>0</v>
    <v>Image of Raleigh, North Carolina</v>
  </rv>
  <rv s="1">
    <fb>35.78</fb>
    <v>9</v>
  </rv>
  <rv s="0">
    <v>805306368</v>
    <v>Janet Cowell (Mayor)</v>
    <v>feb90a04-d3c0-66bc-945e-ed54166fe569</v>
    <v>en-US</v>
    <v>Generic</v>
  </rv>
  <rv s="3">
    <v>29</v>
  </rv>
  <rv s="4">
    <v>https://www.bing.com/search?q=raleigh+north+carolina&amp;form=skydnc</v>
    <v>Learn more on Bing</v>
  </rv>
  <rv s="1">
    <fb>-78.64</fb>
    <v>9</v>
  </rv>
  <rv s="1">
    <fb>516807</fb>
    <v>8</v>
  </rv>
  <rv s="5">
    <v>#VALUE!</v>
    <v>en-US</v>
    <v>7b706445-83c5-46a4-bb70-cff23cd555d3</v>
    <v>536870912</v>
    <v>1</v>
    <v>66</v>
    <v>2</v>
    <v>Raleigh, North Carolina</v>
    <v>4</v>
    <v>5</v>
    <v>Map</v>
    <v>6</v>
    <v>67</v>
    <v>42</v>
    <v>273</v>
    <v>274</v>
    <v>4</v>
    <v>Raleigh is the capital city of the U.S. state of North Carolina. It is the second-most populous city in the state, tenth most populous city in the Southeast, the largest city in the Research Triangle area, and the 39th-most populous city in the ...</v>
    <v>275</v>
    <v>276</v>
    <v>278</v>
    <v>279</v>
    <v>280</v>
    <v>Raleigh, North Carolina</v>
    <v>281</v>
    <v>52</v>
    <v>Raleigh, North Carolina</v>
    <v>mdp/vdpid/5491086135910203393</v>
  </rv>
  <rv s="0">
    <v>536870912</v>
    <v>Evanston, Illinois</v>
    <v>458c3d14-e7cf-418f-9e50-67f129d86211</v>
    <v>en-US</v>
    <v>Map</v>
  </rv>
  <rv s="0">
    <v>536870912</v>
    <v>Illinois</v>
    <v>4131acb8-628a-4241-8920-ca79eab9dade</v>
    <v>en-US</v>
    <v>Map</v>
  </rv>
  <rv s="0">
    <v>536870912</v>
    <v>Cook County, Illinois</v>
    <v>38aa555d-a2f0-25e5-0b3a-ef870e8ef479</v>
    <v>en-US</v>
    <v>Map</v>
  </rv>
  <rv s="1">
    <fb>20.205932000000001</fb>
    <v>8</v>
  </rv>
  <rv s="2">
    <v>23</v>
    <v>6</v>
    <v>68</v>
    <v>7</v>
    <v>0</v>
    <v>Image of Evanston, Illinois</v>
  </rv>
  <rv s="1">
    <fb>42.047222222222203</fb>
    <v>9</v>
  </rv>
  <rv s="0">
    <v>805306368</v>
    <v>Daniel Biss (Mayor)</v>
    <v>c641072f-7611-1559-f67a-634dc85754ef</v>
    <v>en-US</v>
    <v>Generic</v>
  </rv>
  <rv s="3">
    <v>30</v>
  </rv>
  <rv s="4">
    <v>https://www.bing.com/search?q=evanston+illinois&amp;form=skydnc</v>
    <v>Learn more on Bing</v>
  </rv>
  <rv s="1">
    <fb>-87.685000000000002</fb>
    <v>9</v>
  </rv>
  <rv s="1">
    <fb>76006</fb>
    <v>8</v>
  </rv>
  <rv s="5">
    <v>#VALUE!</v>
    <v>en-US</v>
    <v>458c3d14-e7cf-418f-9e50-67f129d86211</v>
    <v>536870912</v>
    <v>1</v>
    <v>69</v>
    <v>2</v>
    <v>Evanston, Illinois</v>
    <v>4</v>
    <v>5</v>
    <v>Map</v>
    <v>6</v>
    <v>14</v>
    <v>284</v>
    <v>285</v>
    <v>286</v>
    <v>18</v>
    <v>Evanston is a city in Cook County, Illinois, United States. Evanston lies on Lake Michigan 12 miles north of the Loop. A Chicago suburb, it is bordered by Wilmette to the north, Skokie to the west, Chicago to the south, and the lake to the east. ...</v>
    <v>287</v>
    <v>288</v>
    <v>290</v>
    <v>291</v>
    <v>292</v>
    <v>Evanston, Illinois</v>
    <v>293</v>
    <v>12</v>
    <v>Evanston, Illinois</v>
    <v>mdp/vdpid/5477682390665003009</v>
  </rv>
  <rv s="0">
    <v>536870912</v>
    <v>Los Angeles</v>
    <v>9958ca5c-ea31-4e71-8a17-bd1e7839c723</v>
    <v>en-US</v>
    <v>Map</v>
  </rv>
  <rv s="1">
    <fb>1302.1517100000001</fb>
    <v>8</v>
  </rv>
  <rv s="2">
    <v>24</v>
    <v>6</v>
    <v>70</v>
    <v>7</v>
    <v>0</v>
    <v>Image of Los Angeles</v>
  </rv>
  <rv s="1">
    <fb>34.052230000000002</fb>
    <v>9</v>
  </rv>
  <rv s="0">
    <v>805306368</v>
    <v>Karen Bass (Mayor)</v>
    <v>a751553e-fe0b-cc4e-1581-201bdf467bf3</v>
    <v>en-US</v>
    <v>Generic</v>
  </rv>
  <rv s="3">
    <v>31</v>
  </rv>
  <rv s="4">
    <v>https://www.bing.com/search?q=los+angeles&amp;form=skydnc</v>
    <v>Learn more on Bing</v>
  </rv>
  <rv s="1">
    <fb>-118.24368</fb>
    <v>9</v>
  </rv>
  <rv s="1">
    <fb>3869089</fb>
    <v>8</v>
  </rv>
  <rv s="5">
    <v>#VALUE!</v>
    <v>en-US</v>
    <v>9958ca5c-ea31-4e71-8a17-bd1e7839c723</v>
    <v>536870912</v>
    <v>1</v>
    <v>71</v>
    <v>2</v>
    <v>Los Angeles</v>
    <v>4</v>
    <v>5</v>
    <v>Map</v>
    <v>6</v>
    <v>7</v>
    <v>55</v>
    <v>56</v>
    <v>296</v>
    <v>4</v>
    <v>Los Angeles, also known as L.A., is the most populous city in the U.S. state of California, and the commercial, financial, and cultural center of Southern California. With an estimated 3.87 million residents within the city limits as of 2025, it ...</v>
    <v>297</v>
    <v>298</v>
    <v>300</v>
    <v>301</v>
    <v>302</v>
    <v>Los Angeles</v>
    <v>303</v>
    <v>65</v>
    <v>Los Angeles</v>
    <v>mdp/vdpid/5059788015119892481</v>
  </rv>
  <rv s="0">
    <v>536870912</v>
    <v>Princeton, New Jersey</v>
    <v>be0dfe95-a30c-3e7f-11f6-8722771cf7a0</v>
    <v>en-US</v>
    <v>Map</v>
  </rv>
  <rv s="0">
    <v>536870912</v>
    <v>Mercer County, New Jersey</v>
    <v>cdeb6d4d-ff4a-26b0-d4e5-ce68776731d9</v>
    <v>en-US</v>
    <v>Map</v>
  </rv>
  <rv s="1">
    <fb>47.684047999999997</fb>
    <v>8</v>
  </rv>
  <rv s="2">
    <v>25</v>
    <v>6</v>
    <v>72</v>
    <v>7</v>
    <v>0</v>
    <v>Image of Princeton, New Jersey</v>
  </rv>
  <rv s="1">
    <fb>40.352222222221997</fb>
    <v>9</v>
  </rv>
  <rv s="0">
    <v>805306368</v>
    <v>Mark Freda (Mayor)</v>
    <v>9cb0a110-3088-80eb-9051-fe376928bdd1</v>
    <v>en-US</v>
    <v>Generic</v>
  </rv>
  <rv s="3">
    <v>32</v>
  </rv>
  <rv s="4">
    <v>https://www.bing.com/search?q=princeton+new+jersey&amp;form=skydnc</v>
    <v>Learn more on Bing</v>
  </rv>
  <rv s="1">
    <fb>-74.656944444443994</fb>
    <v>9</v>
  </rv>
  <rv s="1">
    <fb>30289</fb>
    <v>8</v>
  </rv>
  <rv s="5">
    <v>#VALUE!</v>
    <v>en-US</v>
    <v>be0dfe95-a30c-3e7f-11f6-8722771cf7a0</v>
    <v>536870912</v>
    <v>1</v>
    <v>73</v>
    <v>2</v>
    <v>Princeton, New Jersey</v>
    <v>4</v>
    <v>5</v>
    <v>Map</v>
    <v>6</v>
    <v>17</v>
    <v>238</v>
    <v>306</v>
    <v>307</v>
    <v>4</v>
    <v>The Municipality of Princeton is a borough in Mercer County, in the U.S. state of New Jersey. It was established on January 1, 2013, through the consolidation of the Borough of Princeton and Princeton Township, both of which are now defunct. As ...</v>
    <v>308</v>
    <v>309</v>
    <v>311</v>
    <v>312</v>
    <v>313</v>
    <v>Princeton, New Jersey</v>
    <v>314</v>
    <v>52</v>
    <v>Princeton, New Jersey</v>
    <v>mdp/vdpid/5487418842080608257</v>
  </rv>
  <rv s="0">
    <v>536870912</v>
    <v>San Diego</v>
    <v>dbb1c326-5b67-4591-a264-0929e070e5ee</v>
    <v>en-US</v>
    <v>Map</v>
  </rv>
  <rv s="0">
    <v>536870912</v>
    <v>San Diego County, California</v>
    <v>42418ff2-b917-f686-0c9a-63989a9e04e3</v>
    <v>en-US</v>
    <v>Map</v>
  </rv>
  <rv s="1">
    <fb>964.49716799999999</fb>
    <v>8</v>
  </rv>
  <rv s="2">
    <v>26</v>
    <v>6</v>
    <v>74</v>
    <v>7</v>
    <v>0</v>
    <v>Image of San Diego</v>
  </rv>
  <rv s="1">
    <fb>32.715000000000003</fb>
    <v>9</v>
  </rv>
  <rv s="0">
    <v>805306368</v>
    <v>Todd Gloria (Mayor)</v>
    <v>2fc6fcef-e2af-f0aa-67d9-ef6440c2a9ce</v>
    <v>en-US</v>
    <v>Generic</v>
  </rv>
  <rv s="0">
    <v>805306368</v>
    <v>Steve Padilla (Senate)</v>
    <v>b5679d07-76eb-5163-f976-0301d69a5d01</v>
    <v>en-US</v>
    <v>Generic</v>
  </rv>
  <rv s="0">
    <v>805306368</v>
    <v>Catherine Blakespear (Senate)</v>
    <v>bb54888f-36db-6ab8-96d3-64230556c42e</v>
    <v>en-US</v>
    <v>Generic</v>
  </rv>
  <rv s="0">
    <v>805306368</v>
    <v>Akilah Weber Pierson (Senate)</v>
    <v>5656025d-461f-40d6-8fc2-3c2bf1f06176</v>
    <v>en-US</v>
    <v>Generic</v>
  </rv>
  <rv s="0">
    <v>805306368</v>
    <v>Brian Jones (Senate)</v>
    <v>e3717feb-1082-30a8-ab0f-d732ac33cb18</v>
    <v>en-US</v>
    <v>Generic</v>
  </rv>
  <rv s="3">
    <v>33</v>
  </rv>
  <rv s="4">
    <v>https://www.bing.com/search?q=san+diego&amp;form=skydnc</v>
    <v>Learn more on Bing</v>
  </rv>
  <rv s="1">
    <fb>-117.16249999999999</fb>
    <v>9</v>
  </rv>
  <rv s="1">
    <fb>1406106</fb>
    <v>8</v>
  </rv>
  <rv s="5">
    <v>#VALUE!</v>
    <v>en-US</v>
    <v>dbb1c326-5b67-4591-a264-0929e070e5ee</v>
    <v>536870912</v>
    <v>1</v>
    <v>75</v>
    <v>2</v>
    <v>San Diego</v>
    <v>4</v>
    <v>5</v>
    <v>Map</v>
    <v>6</v>
    <v>7</v>
    <v>55</v>
    <v>317</v>
    <v>318</v>
    <v>18</v>
    <v>San Diego is a city on the Pacific coast of Southern California, adjacent to the Mexico–United States border. It is the eighth-most populous city in the U.S. and second-most populous city in California with a population of over 1.4 million, ...</v>
    <v>319</v>
    <v>320</v>
    <v>326</v>
    <v>327</v>
    <v>328</v>
    <v>San Diego</v>
    <v>329</v>
    <v>65</v>
    <v>San Diego</v>
    <v>mdp/vdpid/5073418765945798657</v>
  </rv>
  <rv s="0">
    <v>536870912</v>
    <v>Seattle</v>
    <v>5fbba6b8-85e1-4d41-9444-d9055436e473</v>
    <v>en-US</v>
    <v>Map</v>
  </rv>
  <rv s="0">
    <v>536870912</v>
    <v>King County, Washington</v>
    <v>54389684-d1e7-09ad-33b0-d0587d219a6e</v>
    <v>en-US</v>
    <v>Map</v>
  </rv>
  <rv s="1">
    <fb>369.24361399999998</fb>
    <v>8</v>
  </rv>
  <rv s="2">
    <v>27</v>
    <v>6</v>
    <v>76</v>
    <v>7</v>
    <v>0</v>
    <v>Image of Seattle</v>
  </rv>
  <rv s="1">
    <fb>47.604999999999997</fb>
    <v>9</v>
  </rv>
  <rv s="0">
    <v>805306368</v>
    <v>Katie Wilson (Mayor)</v>
    <v>4d3f5322-01dd-c957-10ab-5faeff1cf92a</v>
    <v>en-US</v>
    <v>Generic</v>
  </rv>
  <rv s="3">
    <v>34</v>
  </rv>
  <rv s="4">
    <v>https://www.bing.com/search?q=seattle&amp;form=skydnc</v>
    <v>Learn more on Bing</v>
  </rv>
  <rv s="1">
    <fb>-122.33</fb>
    <v>9</v>
  </rv>
  <rv s="1">
    <fb>784777</fb>
    <v>8</v>
  </rv>
  <rv s="5">
    <v>#VALUE!</v>
    <v>en-US</v>
    <v>5fbba6b8-85e1-4d41-9444-d9055436e473</v>
    <v>536870912</v>
    <v>1</v>
    <v>77</v>
    <v>2</v>
    <v>Seattle</v>
    <v>4</v>
    <v>5</v>
    <v>Map</v>
    <v>6</v>
    <v>7</v>
    <v>68</v>
    <v>332</v>
    <v>333</v>
    <v>4</v>
    <v>Seattle is the most populous city in the U.S. state of Washington and the Pacific Northwest region of North America. It is the 18th-most populous city in the United States with a population of 784,777 in 2025, while the Seattle metropolitan area ...</v>
    <v>334</v>
    <v>335</v>
    <v>337</v>
    <v>338</v>
    <v>339</v>
    <v>Seattle</v>
    <v>340</v>
    <v>65</v>
    <v>Seattle</v>
    <v>mdp/vdpid/4860655131336638465</v>
  </rv>
  <rv s="0">
    <v>536870912</v>
    <v>Philadelphia</v>
    <v>020d4bbf-2971-4236-b87d-c3ec1d7f851c</v>
    <v>en-US</v>
    <v>Map</v>
  </rv>
  <rv s="0">
    <v>536870912</v>
    <v>Philadelphia County, Pennsylvania</v>
    <v>e8ae5967-e59c-78fc-3b15-d4611f5ddf0e</v>
    <v>en-US</v>
    <v>Map</v>
  </rv>
  <rv s="1">
    <fb>369.60925200000003</fb>
    <v>8</v>
  </rv>
  <rv s="2">
    <v>28</v>
    <v>6</v>
    <v>78</v>
    <v>7</v>
    <v>0</v>
    <v>Image of Philadelphia</v>
  </rv>
  <rv s="1">
    <fb>39.952777777778003</fb>
    <v>9</v>
  </rv>
  <rv s="0">
    <v>805306368</v>
    <v>Cherelle Parker (Mayor)</v>
    <v>5607bb35-1130-5948-05fa-035fb26aa61f</v>
    <v>en-US</v>
    <v>Generic</v>
  </rv>
  <rv s="3">
    <v>35</v>
  </rv>
  <rv s="4">
    <v>https://www.bing.com/search?q=philadelphia&amp;form=skydnc</v>
    <v>Learn more on Bing</v>
  </rv>
  <rv s="1">
    <fb>-75.163611111110995</fb>
    <v>9</v>
  </rv>
  <rv s="1">
    <fb>1574281</fb>
    <v>8</v>
  </rv>
  <rv s="5">
    <v>#VALUE!</v>
    <v>en-US</v>
    <v>020d4bbf-2971-4236-b87d-c3ec1d7f851c</v>
    <v>536870912</v>
    <v>1</v>
    <v>79</v>
    <v>2</v>
    <v>Philadelphia</v>
    <v>4</v>
    <v>5</v>
    <v>Map</v>
    <v>6</v>
    <v>7</v>
    <v>149</v>
    <v>343</v>
    <v>344</v>
    <v>4</v>
    <v>Philadelphia, colloquially referred to as Philly, is the most populous city in the U.S. state of Pennsylvania and the sixth-most populous city in the United States. Its population was 1.60 million at the 2020 census and estimated at 1.57 million ...</v>
    <v>345</v>
    <v>346</v>
    <v>348</v>
    <v>349</v>
    <v>350</v>
    <v>Philadelphia</v>
    <v>351</v>
    <v>52</v>
    <v>Philadelphia</v>
    <v>mdp/vdpid/5487461586467553286</v>
  </rv>
  <rv s="0">
    <v>536870912</v>
    <v>New York City</v>
    <v>60d5dc2b-c915-460b-b722-c9e3485499ca</v>
    <v>en-US</v>
    <v>Map</v>
  </rv>
  <rv s="1">
    <fb>1213.369839</fb>
    <v>8</v>
  </rv>
  <rv s="2">
    <v>29</v>
    <v>6</v>
    <v>80</v>
    <v>7</v>
    <v>0</v>
    <v>Image of New York City</v>
  </rv>
  <rv s="1">
    <fb>40.712777777777802</fb>
    <v>9</v>
  </rv>
  <rv s="0">
    <v>805306368</v>
    <v>Zohran Mamdani (Mayor)</v>
    <v>36688363-8c1c-bf58-cc8e-ecfd04ecabce</v>
    <v>en-US</v>
    <v>Generic</v>
  </rv>
  <rv s="3">
    <v>36</v>
  </rv>
  <rv s="4">
    <v>https://www.bing.com/search?q=new+york+city&amp;form=skydnc</v>
    <v>Learn more on Bing</v>
  </rv>
  <rv s="1">
    <fb>-74.006111111111096</fb>
    <v>9</v>
  </rv>
  <rv s="1">
    <fb>8584629</fb>
    <v>8</v>
  </rv>
  <rv s="8">
    <v>#VALUE!</v>
    <v>en-US</v>
    <v>60d5dc2b-c915-460b-b722-c9e3485499ca</v>
    <v>536870912</v>
    <v>1</v>
    <v>81</v>
    <v>82</v>
    <v>New York City</v>
    <v>4</v>
    <v>5</v>
    <v>Map</v>
    <v>6</v>
    <v>7</v>
    <v>137</v>
    <v>354</v>
    <v>4</v>
    <v>New York, often called New York City, is the most populous city in the United States. It is located at the southern tip of New York State on New York Harbor, one of the world's largest natural harbors. The city comprises five boroughs—Manhattan, ...</v>
    <v>355</v>
    <v>356</v>
    <v>358</v>
    <v>359</v>
    <v>360</v>
    <v>New York City</v>
    <v>361</v>
    <v>52</v>
    <v>New York City</v>
    <v>mdp/vdpid/5487505297524129794</v>
  </rv>
  <rv s="0">
    <v>536870912</v>
    <v>Ithaca, New York</v>
    <v>995b9809-430a-93c1-623f-eb06a9e7a795</v>
    <v>en-US</v>
    <v>Map</v>
  </rv>
  <rv s="0">
    <v>536870912</v>
    <v>Tompkins County, New York</v>
    <v>f8fdb554-dcaa-ff88-2d31-900c0ad7ac03</v>
    <v>en-US</v>
    <v>Map</v>
  </rv>
  <rv s="1">
    <fb>15.727155</fb>
    <v>8</v>
  </rv>
  <rv s="2">
    <v>30</v>
    <v>6</v>
    <v>83</v>
    <v>7</v>
    <v>0</v>
    <v>Image of Ithaca, New York</v>
  </rv>
  <rv s="1">
    <fb>42.443333333333001</fb>
    <v>9</v>
  </rv>
  <rv s="0">
    <v>805306368</v>
    <v>Robert Cantelmo (Mayor)</v>
    <v>668ed569-d064-e97e-8004-54f7a2969f83</v>
    <v>en-US</v>
    <v>Generic</v>
  </rv>
  <rv s="3">
    <v>37</v>
  </rv>
  <rv s="4">
    <v>https://www.bing.com/search?q=ithaca+new+york&amp;form=skydnc</v>
    <v>Learn more on Bing</v>
  </rv>
  <rv s="1">
    <fb>-76.5</fb>
    <v>9</v>
  </rv>
  <rv s="1">
    <fb>33768</fb>
    <v>8</v>
  </rv>
  <rv s="5">
    <v>#VALUE!</v>
    <v>en-US</v>
    <v>995b9809-430a-93c1-623f-eb06a9e7a795</v>
    <v>536870912</v>
    <v>1</v>
    <v>84</v>
    <v>2</v>
    <v>Ithaca, New York</v>
    <v>4</v>
    <v>5</v>
    <v>Map</v>
    <v>6</v>
    <v>14</v>
    <v>137</v>
    <v>364</v>
    <v>365</v>
    <v>18</v>
    <v>Ithaca is a city in the U.S. state of New York. It is situated on the southern shore of Cayuga Lake in the Finger Lakes region of Upstate New York. With a population of 32,108 as of the 2020 census, Ithaca is the largest community in the Ithaca ...</v>
    <v>366</v>
    <v>367</v>
    <v>369</v>
    <v>370</v>
    <v>371</v>
    <v>Ithaca, New York</v>
    <v>372</v>
    <v>52</v>
    <v>Ithaca, New York</v>
    <v>mdp/vdpid/5485931518813536258</v>
  </rv>
  <rv s="0">
    <v>536870912</v>
    <v>North Chicago, Illinois</v>
    <v>5c36e25c-c076-3bcd-ab40-4ed8f5c6dd97</v>
    <v>en-US</v>
    <v>Map</v>
  </rv>
  <rv s="0">
    <v>536870912</v>
    <v>Lake County, Illinois</v>
    <v>af3aa2fc-26e2-9a8a-7895-e1c66221fda8</v>
    <v>en-US</v>
    <v>Map</v>
  </rv>
  <rv s="1">
    <fb>20.721530000000001</fb>
    <v>8</v>
  </rv>
  <rv s="2">
    <v>31</v>
    <v>6</v>
    <v>85</v>
    <v>7</v>
    <v>0</v>
    <v>Image of North Chicago, Illinois</v>
  </rv>
  <rv s="1">
    <fb>42.317154899999998</fb>
    <v>9</v>
  </rv>
  <rv s="0">
    <v>805306368</v>
    <v>Leon Rockingham Jr. (Mayor)</v>
    <v>5620d8bd-d10a-b546-164e-0c220bde28f0</v>
    <v>en-US</v>
    <v>Generic</v>
  </rv>
  <rv s="3">
    <v>38</v>
  </rv>
  <rv s="4">
    <v>https://www.bing.com/search?q=north+chicago+illinois&amp;form=skydnc</v>
    <v>Learn more on Bing</v>
  </rv>
  <rv s="1">
    <fb>-87.859408599999995</fb>
    <v>9</v>
  </rv>
  <rv s="1">
    <fb>30759</fb>
    <v>8</v>
  </rv>
  <rv s="5">
    <v>#VALUE!</v>
    <v>en-US</v>
    <v>5c36e25c-c076-3bcd-ab40-4ed8f5c6dd97</v>
    <v>536870912</v>
    <v>1</v>
    <v>86</v>
    <v>2</v>
    <v>North Chicago, Illinois</v>
    <v>4</v>
    <v>5</v>
    <v>Map</v>
    <v>6</v>
    <v>28</v>
    <v>284</v>
    <v>375</v>
    <v>376</v>
    <v>18</v>
    <v>North Chicago is a city in Lake County, Illinois, United States, and a suburb of the Chicago metropolitan area. The population was 30,759 at the 2020 census making it the third-most populous city by population in the county, after Waukegan and ...</v>
    <v>377</v>
    <v>378</v>
    <v>380</v>
    <v>381</v>
    <v>382</v>
    <v>North Chicago, Illinois</v>
    <v>383</v>
    <v>12</v>
    <v>North Chicago, Illinois</v>
    <v>mdp/vdpid/5476927343232548866</v>
  </rv>
  <rv s="0">
    <v>536870912</v>
    <v>New Haven, Connecticut</v>
    <v>20d71553-9d7c-4a1f-99d5-749804a9c44d</v>
    <v>en-US</v>
    <v>Map</v>
  </rv>
  <rv s="0">
    <v>536870912</v>
    <v>Connecticut</v>
    <v>b3ca6523-435e-4a3b-8f78-1ad900a52cf8</v>
    <v>en-US</v>
    <v>Map</v>
  </rv>
  <rv s="0">
    <v>536870912</v>
    <v>New Haven County, Connecticut</v>
    <v>c1ad6642-accc-d89f-23e7-080efc203b87</v>
    <v>en-US</v>
    <v>Map</v>
  </rv>
  <rv s="1">
    <fb>52</fb>
    <v>8</v>
  </rv>
  <rv s="2">
    <v>32</v>
    <v>6</v>
    <v>87</v>
    <v>7</v>
    <v>0</v>
    <v>Image of New Haven, Connecticut</v>
  </rv>
  <rv s="1">
    <fb>41.308333333333003</fb>
    <v>9</v>
  </rv>
  <rv s="0">
    <v>805306368</v>
    <v>Justin Elicker (Mayor)</v>
    <v>239774e5-cc6e-196f-26bd-b681ca5db20a</v>
    <v>en-US</v>
    <v>Generic</v>
  </rv>
  <rv s="3">
    <v>39</v>
  </rv>
  <rv s="4">
    <v>https://www.bing.com/search?q=new+haven+connecticut&amp;form=skydnc</v>
    <v>Learn more on Bing</v>
  </rv>
  <rv s="1">
    <fb>-72.924999999999997</fb>
    <v>9</v>
  </rv>
  <rv s="1">
    <fb>137562</fb>
    <v>8</v>
  </rv>
  <rv s="5">
    <v>#VALUE!</v>
    <v>en-US</v>
    <v>20d71553-9d7c-4a1f-99d5-749804a9c44d</v>
    <v>536870912</v>
    <v>1</v>
    <v>88</v>
    <v>2</v>
    <v>New Haven, Connecticut</v>
    <v>4</v>
    <v>5</v>
    <v>Map</v>
    <v>6</v>
    <v>14</v>
    <v>386</v>
    <v>387</v>
    <v>388</v>
    <v>18</v>
    <v>New Haven is a city in the U.S. state of Connecticut. It is located on New Haven Harbor on the northern shore of Long Island Sound. With a population of 134,023 at the 2020 census, it is the third-most populous city in Connecticut and the ...</v>
    <v>389</v>
    <v>390</v>
    <v>392</v>
    <v>393</v>
    <v>394</v>
    <v>New Haven, Connecticut</v>
    <v>395</v>
    <v>52</v>
    <v>New Haven, Connecticut</v>
    <v>mdp/vdpid/5488836148102955009</v>
  </rv>
  <rv s="0">
    <v>536870912</v>
    <v>Medford, Massachusetts</v>
    <v>73dc6422-9895-3d66-5671-0479aca01501</v>
    <v>en-US</v>
    <v>Map</v>
  </rv>
  <rv s="0">
    <v>536870912</v>
    <v>Massachusetts</v>
    <v>845219d5-3650-4199-b926-964ca27c863c</v>
    <v>en-US</v>
    <v>Map</v>
  </rv>
  <rv s="0">
    <v>536870912</v>
    <v>Middlesex County, Massachusetts</v>
    <v>35a312f1-7a02-c8cd-c683-cff4021fabff</v>
    <v>en-US</v>
    <v>Map</v>
  </rv>
  <rv s="1">
    <fb>22.437066999999999</fb>
    <v>8</v>
  </rv>
  <rv s="2">
    <v>33</v>
    <v>6</v>
    <v>89</v>
    <v>7</v>
    <v>0</v>
    <v>Image of Medford, Massachusetts</v>
  </rv>
  <rv s="1">
    <fb>42.418333333333003</fb>
    <v>9</v>
  </rv>
  <rv s="0">
    <v>805306368</v>
    <v>Breanna Lungo-Koehn (Mayor)</v>
    <v>7e50bcec-78c3-121e-5a1f-1a076a1a438a</v>
    <v>en-US</v>
    <v>Generic</v>
  </rv>
  <rv s="3">
    <v>40</v>
  </rv>
  <rv s="4">
    <v>https://www.bing.com/search?q=medford+massachusetts&amp;form=skydnc</v>
    <v>Learn more on Bing</v>
  </rv>
  <rv s="1">
    <fb>-71.106666666666996</fb>
    <v>9</v>
  </rv>
  <rv s="1">
    <fb>59659</fb>
    <v>8</v>
  </rv>
  <rv s="5">
    <v>#VALUE!</v>
    <v>en-US</v>
    <v>73dc6422-9895-3d66-5671-0479aca01501</v>
    <v>536870912</v>
    <v>1</v>
    <v>90</v>
    <v>2</v>
    <v>Medford, Massachusetts</v>
    <v>4</v>
    <v>5</v>
    <v>Map</v>
    <v>6</v>
    <v>28</v>
    <v>398</v>
    <v>399</v>
    <v>400</v>
    <v>4</v>
    <v>Medford is a city in Middlesex County, Massachusetts, United States. At the time of the 2020 United States census, Medford's population was 59,659. It is home to Tufts University, which has its campus on both sides of the Medford and Somerville ...</v>
    <v>401</v>
    <v>402</v>
    <v>404</v>
    <v>405</v>
    <v>406</v>
    <v>Medford, Massachusetts</v>
    <v>407</v>
    <v>52</v>
    <v>Medford, Massachusetts</v>
    <v>mdp/vdpid/5488158677443543042</v>
  </rv>
</rvData>
</file>

<file path=xl/richData/rdrichvaluestructure.xml><?xml version="1.0" encoding="utf-8"?>
<rvStructures xmlns="http://schemas.microsoft.com/office/spreadsheetml/2017/richdata" count="9">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household income" t="r"/>
    <k n="Name" t="s"/>
    <k n="Official language" t="r"/>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4">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Time zone(s)</v>
      <v t="s">Image</v>
      <v t="s">Description</v>
    </a>
    <a count="32">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Households</v>
      <v t="s">Housing units</v>
      <v t="s">Persons per household</v>
      <v t="s">Median household income</v>
      <v t="s">Building permits</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spbArrays>
  <spbData count="91">
    <spb s="0">
      <v xml:space="preserve">Wikipedia	</v>
      <v xml:space="preserve">CC BY-SA 3.0	</v>
      <v xml:space="preserve">https://en.wikipedia.org/wiki/Nashville,_Tennessee	</v>
      <v xml:space="preserve">https://creativecommons.org/licenses/by-sa/3.0	</v>
    </spb>
    <spb s="1">
      <v>0</v>
      <v>0</v>
      <v>0</v>
      <v>0</v>
      <v>0</v>
      <v>0</v>
      <v>0</v>
      <v>0</v>
      <v>0</v>
      <v>0</v>
    </spb>
    <spb s="2">
      <v>0</v>
      <v>Name</v>
      <v>LearnMoreOnLink</v>
    </spb>
    <spb s="3">
      <v>0</v>
      <v>0</v>
      <v>0</v>
    </spb>
    <spb s="4">
      <v>3</v>
      <v>3</v>
      <v>3</v>
    </spb>
    <spb s="5">
      <v>1</v>
      <v>2</v>
    </spb>
    <spb s="6">
      <v>https://www.bing.com</v>
      <v>https://www.bing.com/th?id=Ga%5Cbing_yt.png&amp;w=100&amp;h=40&amp;c=0&amp;pid=0.1</v>
      <v>Powered by Bing</v>
    </spb>
    <spb s="7">
      <v>square km</v>
      <v>2025</v>
    </spb>
    <spb s="8">
      <v>3</v>
    </spb>
    <spb s="8">
      <v>4</v>
    </spb>
    <spb s="0">
      <v xml:space="preserve">Wikipedia	</v>
      <v xml:space="preserve">CC BY-SA 3.0	</v>
      <v xml:space="preserve">https://en.wikipedia.org/wiki/Iowa_City,_Iowa	</v>
      <v xml:space="preserve">https://creativecommons.org/licenses/by-sa/3.0	</v>
    </spb>
    <spb s="1">
      <v>10</v>
      <v>10</v>
      <v>10</v>
      <v>10</v>
      <v>10</v>
      <v>10</v>
      <v>10</v>
      <v>10</v>
      <v>10</v>
      <v>10</v>
    </spb>
    <spb s="0">
      <v xml:space="preserve">Wikipedia	</v>
      <v xml:space="preserve">CC BY-SA 3.0	</v>
      <v xml:space="preserve">https://en.wikipedia.org/wiki/Hanover	</v>
      <v xml:space="preserve">https://creativecommons.org/licenses/by-sa/3.0	</v>
    </spb>
    <spb s="1">
      <v>12</v>
      <v>12</v>
      <v>12</v>
      <v>12</v>
      <v>12</v>
      <v>12</v>
      <v>12</v>
      <v>12</v>
      <v>12</v>
      <v>12</v>
    </spb>
    <spb s="7">
      <v>square km</v>
      <v>2024</v>
    </spb>
    <spb s="0">
      <v xml:space="preserve">Wikipedia	</v>
      <v xml:space="preserve">CC BY-SA 3.0	</v>
      <v xml:space="preserve">https://en.wikipedia.org/wiki/Durham,_North_Carolina	</v>
      <v xml:space="preserve">https://creativecommons.org/licenses/by-sa/3.0	</v>
    </spb>
    <spb s="1">
      <v>15</v>
      <v>15</v>
      <v>15</v>
      <v>15</v>
      <v>15</v>
      <v>15</v>
      <v>15</v>
      <v>15</v>
      <v>15</v>
      <v>15</v>
    </spb>
    <spb s="7">
      <v>square km</v>
      <v>2023</v>
    </spb>
    <spb s="0">
      <v xml:space="preserve">Wikipedia	</v>
      <v xml:space="preserve">CC BY-SA 3.0	</v>
      <v xml:space="preserve">https://en.wikipedia.org/wiki/Pasadena,_California	</v>
      <v xml:space="preserve">https://creativecommons.org/licenses/by-sa/3.0	</v>
    </spb>
    <spb s="1">
      <v>18</v>
      <v>18</v>
      <v>18</v>
      <v>18</v>
      <v>18</v>
      <v>18</v>
      <v>18</v>
      <v>18</v>
      <v>18</v>
      <v>18</v>
    </spb>
    <spb s="0">
      <v xml:space="preserve">Wikipedia	</v>
      <v xml:space="preserve">CC BY-SA 3.0	</v>
      <v xml:space="preserve">https://en.wikipedia.org/wiki/Pullman,_Washington	</v>
      <v xml:space="preserve">https://creativecommons.org/licenses/by-sa/3.0	</v>
    </spb>
    <spb s="1">
      <v>20</v>
      <v>20</v>
      <v>20</v>
      <v>20</v>
      <v>20</v>
      <v>20</v>
      <v>20</v>
      <v>20</v>
      <v>20</v>
      <v>20</v>
    </spb>
    <spb s="0">
      <v xml:space="preserve">Wikipedia	</v>
      <v xml:space="preserve">CC BY-SA 3.0	</v>
      <v xml:space="preserve">https://en.wikipedia.org/wiki/Fairfax,_Virginia	</v>
      <v xml:space="preserve">https://creativecommons.org/licenses/by-sa/3.0	</v>
    </spb>
    <spb s="9">
      <v>22</v>
      <v>22</v>
      <v>22</v>
      <v>22</v>
      <v>22</v>
      <v>22</v>
      <v>22</v>
    </spb>
    <spb s="2">
      <v>1</v>
      <v>Name</v>
      <v>LearnMoreOnLink</v>
    </spb>
    <spb s="10">
      <v>3</v>
      <v>3</v>
      <v>3</v>
      <v>3</v>
    </spb>
    <spb s="0">
      <v xml:space="preserve">Wikipedia	</v>
      <v xml:space="preserve">CC BY-SA 3.0	</v>
      <v xml:space="preserve">https://en.wikipedia.org/wiki/Medford,_Oregon	</v>
      <v xml:space="preserve">https://creativecommons.org/licenses/by-sa/3.0	</v>
    </spb>
    <spb s="1">
      <v>26</v>
      <v>26</v>
      <v>26</v>
      <v>26</v>
      <v>26</v>
      <v>26</v>
      <v>26</v>
      <v>26</v>
      <v>26</v>
      <v>26</v>
    </spb>
    <spb s="7">
      <v>square km</v>
      <v>2020</v>
    </spb>
    <spb s="0">
      <v xml:space="preserve">Wikipedia	</v>
      <v xml:space="preserve">CC BY-SA 3.0	</v>
      <v xml:space="preserve">https://en.wikipedia.org/wiki/Provo,_Utah	</v>
      <v xml:space="preserve">https://creativecommons.org/licenses/by-sa/3.0	</v>
    </spb>
    <spb s="1">
      <v>29</v>
      <v>29</v>
      <v>29</v>
      <v>29</v>
      <v>29</v>
      <v>29</v>
      <v>29</v>
      <v>29</v>
      <v>29</v>
      <v>29</v>
    </spb>
    <spb s="0">
      <v xml:space="preserve">Wikipedia	</v>
      <v xml:space="preserve">CC BY-SA 3.0	</v>
      <v xml:space="preserve">https://en.wikipedia.org/wiki/East_Lansing,_Michigan	</v>
      <v xml:space="preserve">https://creativecommons.org/licenses/by-sa/3.0	</v>
    </spb>
    <spb s="1">
      <v>31</v>
      <v>31</v>
      <v>31</v>
      <v>31</v>
      <v>31</v>
      <v>31</v>
      <v>31</v>
      <v>31</v>
      <v>31</v>
      <v>31</v>
    </spb>
    <spb s="0">
      <v xml:space="preserve">Wikipedia	</v>
      <v xml:space="preserve">CC BY-SA 3.0	</v>
      <v xml:space="preserve">https://en.wikipedia.org/wiki/Minneapolis	</v>
      <v xml:space="preserve">https://creativecommons.org/licenses/by-sa/3.0	</v>
    </spb>
    <spb s="1">
      <v>33</v>
      <v>33</v>
      <v>33</v>
      <v>33</v>
      <v>33</v>
      <v>33</v>
      <v>33</v>
      <v>33</v>
      <v>33</v>
      <v>33</v>
    </spb>
    <spb s="0">
      <v xml:space="preserve">Wikipedia	</v>
      <v xml:space="preserve">CC BY-SA 3.0	</v>
      <v xml:space="preserve">https://en.wikipedia.org/wiki/Rochester,_New_York	</v>
      <v xml:space="preserve">https://creativecommons.org/licenses/by-sa/3.0	</v>
    </spb>
    <spb s="1">
      <v>35</v>
      <v>35</v>
      <v>35</v>
      <v>35</v>
      <v>35</v>
      <v>35</v>
      <v>35</v>
      <v>35</v>
      <v>35</v>
      <v>35</v>
    </spb>
    <spb s="0">
      <v xml:space="preserve">Wikipedia	</v>
      <v xml:space="preserve">CC BY-SA 3.0	</v>
      <v xml:space="preserve">https://en.wikipedia.org/wiki/Pittsburgh	</v>
      <v xml:space="preserve">https://creativecommons.org/licenses/by-sa/3.0	</v>
    </spb>
    <spb s="1">
      <v>37</v>
      <v>37</v>
      <v>37</v>
      <v>37</v>
      <v>37</v>
      <v>37</v>
      <v>37</v>
      <v>37</v>
      <v>37</v>
      <v>37</v>
    </spb>
    <spb s="0">
      <v xml:space="preserve">Wikipedia	</v>
      <v xml:space="preserve">CC BY-SA 3.0	</v>
      <v xml:space="preserve">https://en.wikipedia.org/wiki/New_Brunswick	</v>
      <v xml:space="preserve">https://creativecommons.org/licenses/by-sa/3.0	</v>
    </spb>
    <spb s="0">
      <v xml:space="preserve">Wikipedia	</v>
      <v xml:space="preserve">CC-BY-SA	</v>
      <v xml:space="preserve">https://en.wikipedia.org/wiki/New_Brunswick	</v>
      <v xml:space="preserve">http://creativecommons.org/licenses/by-sa/3.0/	</v>
    </spb>
    <spb s="0">
      <v xml:space="preserve">Wikipedia	</v>
      <v xml:space="preserve">CC-BY-SA	</v>
      <v xml:space="preserve">http://en.wikipedia.org/wiki/New_Brunswick	</v>
      <v xml:space="preserve">http://creativecommons.org/licenses/by-sa/3.0/	</v>
    </spb>
    <spb s="0">
      <v xml:space="preserve">Wikipedia	Wikipedia	</v>
      <v xml:space="preserve">CC-BY-SA	CC-BY-SA	</v>
      <v xml:space="preserve">http://en.wikipedia.org/wiki/New_Brunswick	https://en.wikipedia.org/wiki/New_Brunswick	</v>
      <v xml:space="preserve">http://creativecommons.org/licenses/by-sa/3.0/	http://creativecommons.org/licenses/by-sa/3.0/	</v>
    </spb>
    <spb s="11">
      <v>39</v>
      <v>39</v>
      <v>40</v>
      <v>39</v>
      <v>39</v>
      <v>39</v>
      <v>41</v>
      <v>39</v>
      <v>40</v>
      <v>39</v>
      <v>40</v>
      <v>39</v>
      <v>40</v>
      <v>42</v>
    </spb>
    <spb s="2">
      <v>2</v>
      <v>Name</v>
      <v>LearnMoreOnLink</v>
    </spb>
    <spb s="12">
      <v>square km</v>
      <v>2016</v>
      <v>2021</v>
      <v>2016</v>
      <v>2017-12</v>
      <v>2016</v>
      <v>2016</v>
    </spb>
    <spb s="8">
      <v>5</v>
    </spb>
    <spb s="8">
      <v>6</v>
    </spb>
    <spb s="0">
      <v xml:space="preserve">Wikipedia	</v>
      <v xml:space="preserve">CC BY-SA 3.0	</v>
      <v xml:space="preserve">https://en.wikipedia.org/wiki/Eugene,_Oregon	</v>
      <v xml:space="preserve">https://creativecommons.org/licenses/by-sa/3.0	</v>
    </spb>
    <spb s="1">
      <v>48</v>
      <v>48</v>
      <v>48</v>
      <v>48</v>
      <v>48</v>
      <v>48</v>
      <v>48</v>
      <v>48</v>
      <v>48</v>
      <v>48</v>
    </spb>
    <spb s="0">
      <v xml:space="preserve">Wikipedia	</v>
      <v xml:space="preserve">CC BY-SA 3.0	</v>
      <v xml:space="preserve">https://en.wikipedia.org/wiki/Lincoln,_Nebraska	</v>
      <v xml:space="preserve">https://creativecommons.org/licenses/by-sa/3.0	</v>
    </spb>
    <spb s="1">
      <v>50</v>
      <v>50</v>
      <v>50</v>
      <v>50</v>
      <v>50</v>
      <v>50</v>
      <v>50</v>
      <v>50</v>
      <v>50</v>
      <v>50</v>
    </spb>
    <spb s="0">
      <v xml:space="preserve">Wikipedia	</v>
      <v xml:space="preserve">CC BY-SA 3.0	</v>
      <v xml:space="preserve">https://en.wikipedia.org/wiki/Santa_Barbara,_California	</v>
      <v xml:space="preserve">https://creativecommons.org/licenses/by-sa/3.0	</v>
    </spb>
    <spb s="1">
      <v>52</v>
      <v>52</v>
      <v>52</v>
      <v>52</v>
      <v>52</v>
      <v>52</v>
      <v>52</v>
      <v>52</v>
      <v>52</v>
      <v>52</v>
    </spb>
    <spb s="0">
      <v xml:space="preserve">Wikipedia	</v>
      <v xml:space="preserve">CC BY-SA 3.0	</v>
      <v xml:space="preserve">https://en.wikipedia.org/wiki/Irvine,_California	</v>
      <v xml:space="preserve">https://creativecommons.org/licenses/by-sa/3.0	</v>
    </spb>
    <spb s="1">
      <v>54</v>
      <v>54</v>
      <v>54</v>
      <v>54</v>
      <v>54</v>
      <v>54</v>
      <v>54</v>
      <v>54</v>
      <v>54</v>
      <v>54</v>
    </spb>
    <spb s="0">
      <v xml:space="preserve">Wikipedia	</v>
      <v xml:space="preserve">CC BY-SA 3.0	</v>
      <v xml:space="preserve">https://en.wikipedia.org/wiki/Gainesville,_Florida	</v>
      <v xml:space="preserve">https://creativecommons.org/licenses/by-sa/3.0	</v>
    </spb>
    <spb s="1">
      <v>56</v>
      <v>56</v>
      <v>56</v>
      <v>56</v>
      <v>56</v>
      <v>56</v>
      <v>56</v>
      <v>56</v>
      <v>56</v>
      <v>56</v>
    </spb>
    <spb s="7">
      <v>square km</v>
      <v>2022</v>
    </spb>
    <spb s="0">
      <v xml:space="preserve">Wikipedia	</v>
      <v xml:space="preserve">CC BY-SA 3.0	</v>
      <v xml:space="preserve">https://en.wikipedia.org/wiki/Newark,_New_Jersey	</v>
      <v xml:space="preserve">https://creativecommons.org/licenses/by-sa/3.0	</v>
    </spb>
    <spb s="1">
      <v>59</v>
      <v>59</v>
      <v>59</v>
      <v>59</v>
      <v>59</v>
      <v>59</v>
      <v>59</v>
      <v>59</v>
      <v>59</v>
      <v>59</v>
    </spb>
    <spb s="0">
      <v xml:space="preserve">Wikipedia	</v>
      <v xml:space="preserve">CC BY-SA 3.0	</v>
      <v xml:space="preserve">https://en.wikipedia.org/wiki/Salt_Lake_City	</v>
      <v xml:space="preserve">https://creativecommons.org/licenses/by-sa/3.0	</v>
    </spb>
    <spb s="1">
      <v>61</v>
      <v>61</v>
      <v>61</v>
      <v>61</v>
      <v>61</v>
      <v>61</v>
      <v>61</v>
      <v>61</v>
      <v>61</v>
      <v>61</v>
    </spb>
    <spb s="0">
      <v xml:space="preserve">Wikipedia	</v>
      <v xml:space="preserve">CC BY-SA 3.0	</v>
      <v xml:space="preserve">https://en.wikipedia.org/wiki/Madison,_Wisconsin	</v>
      <v xml:space="preserve">https://creativecommons.org/licenses/by-sa/3.0	</v>
    </spb>
    <spb s="1">
      <v>63</v>
      <v>63</v>
      <v>63</v>
      <v>63</v>
      <v>63</v>
      <v>63</v>
      <v>63</v>
      <v>63</v>
      <v>63</v>
      <v>63</v>
    </spb>
    <spb s="0">
      <v xml:space="preserve">Wikipedia	</v>
      <v xml:space="preserve">CC BY-SA 3.0	</v>
      <v xml:space="preserve">https://en.wikipedia.org/wiki/Raleigh,_North_Carolina	</v>
      <v xml:space="preserve">https://creativecommons.org/licenses/by-sa/3.0	</v>
    </spb>
    <spb s="1">
      <v>65</v>
      <v>65</v>
      <v>65</v>
      <v>65</v>
      <v>65</v>
      <v>65</v>
      <v>65</v>
      <v>65</v>
      <v>65</v>
      <v>65</v>
    </spb>
    <spb s="7">
      <v>square km</v>
      <v>2026</v>
    </spb>
    <spb s="0">
      <v xml:space="preserve">Wikipedia	</v>
      <v xml:space="preserve">CC BY-SA 3.0	</v>
      <v xml:space="preserve">https://en.wikipedia.org/wiki/Evanston,_Illinois	</v>
      <v xml:space="preserve">https://creativecommons.org/licenses/by-sa/3.0	</v>
    </spb>
    <spb s="1">
      <v>68</v>
      <v>68</v>
      <v>68</v>
      <v>68</v>
      <v>68</v>
      <v>68</v>
      <v>68</v>
      <v>68</v>
      <v>68</v>
      <v>68</v>
    </spb>
    <spb s="0">
      <v xml:space="preserve">Wikipedia	</v>
      <v xml:space="preserve">CC BY-SA 3.0	</v>
      <v xml:space="preserve">https://en.wikipedia.org/wiki/Los_Angeles	</v>
      <v xml:space="preserve">https://creativecommons.org/licenses/by-sa/3.0	</v>
    </spb>
    <spb s="1">
      <v>70</v>
      <v>70</v>
      <v>70</v>
      <v>70</v>
      <v>70</v>
      <v>70</v>
      <v>70</v>
      <v>70</v>
      <v>70</v>
      <v>70</v>
    </spb>
    <spb s="0">
      <v xml:space="preserve">Wikipedia	</v>
      <v xml:space="preserve">CC BY-SA 3.0	</v>
      <v xml:space="preserve">https://en.wikipedia.org/wiki/Princeton,_New_Jersey	</v>
      <v xml:space="preserve">https://creativecommons.org/licenses/by-sa/3.0	</v>
    </spb>
    <spb s="1">
      <v>72</v>
      <v>72</v>
      <v>72</v>
      <v>72</v>
      <v>72</v>
      <v>72</v>
      <v>72</v>
      <v>72</v>
      <v>72</v>
      <v>72</v>
    </spb>
    <spb s="0">
      <v xml:space="preserve">Wikipedia	</v>
      <v xml:space="preserve">CC BY-SA 3.0	</v>
      <v xml:space="preserve">https://en.wikipedia.org/wiki/San_Diego	</v>
      <v xml:space="preserve">https://creativecommons.org/licenses/by-sa/3.0	</v>
    </spb>
    <spb s="1">
      <v>74</v>
      <v>74</v>
      <v>74</v>
      <v>74</v>
      <v>74</v>
      <v>74</v>
      <v>74</v>
      <v>74</v>
      <v>74</v>
      <v>74</v>
    </spb>
    <spb s="0">
      <v xml:space="preserve">Wikipedia	</v>
      <v xml:space="preserve">CC BY-SA 3.0	</v>
      <v xml:space="preserve">https://en.wikipedia.org/wiki/Seattle	</v>
      <v xml:space="preserve">https://creativecommons.org/licenses/by-sa/3.0	</v>
    </spb>
    <spb s="1">
      <v>76</v>
      <v>76</v>
      <v>76</v>
      <v>76</v>
      <v>76</v>
      <v>76</v>
      <v>76</v>
      <v>76</v>
      <v>76</v>
      <v>76</v>
    </spb>
    <spb s="0">
      <v xml:space="preserve">Wikipedia	</v>
      <v xml:space="preserve">CC BY-SA 3.0	</v>
      <v xml:space="preserve">https://en.wikipedia.org/wiki/Philadelphia	</v>
      <v xml:space="preserve">https://creativecommons.org/licenses/by-sa/3.0	</v>
    </spb>
    <spb s="1">
      <v>78</v>
      <v>78</v>
      <v>78</v>
      <v>78</v>
      <v>78</v>
      <v>78</v>
      <v>78</v>
      <v>78</v>
      <v>78</v>
      <v>78</v>
    </spb>
    <spb s="0">
      <v xml:space="preserve">Wikipedia	</v>
      <v xml:space="preserve">CC BY-SA 3.0	</v>
      <v xml:space="preserve">https://en.wikipedia.org/wiki/New_York_City	</v>
      <v xml:space="preserve">https://creativecommons.org/licenses/by-sa/3.0	</v>
    </spb>
    <spb s="13">
      <v>80</v>
      <v>80</v>
      <v>80</v>
      <v>80</v>
      <v>80</v>
      <v>80</v>
      <v>80</v>
      <v>80</v>
      <v>80</v>
    </spb>
    <spb s="2">
      <v>3</v>
      <v>Name</v>
      <v>LearnMoreOnLink</v>
    </spb>
    <spb s="0">
      <v xml:space="preserve">Wikipedia	</v>
      <v xml:space="preserve">CC BY-SA 3.0	</v>
      <v xml:space="preserve">https://en.wikipedia.org/wiki/Ithaca,_New_York	</v>
      <v xml:space="preserve">https://creativecommons.org/licenses/by-sa/3.0	</v>
    </spb>
    <spb s="1">
      <v>83</v>
      <v>83</v>
      <v>83</v>
      <v>83</v>
      <v>83</v>
      <v>83</v>
      <v>83</v>
      <v>83</v>
      <v>83</v>
      <v>83</v>
    </spb>
    <spb s="0">
      <v xml:space="preserve">Wikipedia	</v>
      <v xml:space="preserve">CC BY-SA 3.0	</v>
      <v xml:space="preserve">https://en.wikipedia.org/wiki/North_Chicago,_Illinois	</v>
      <v xml:space="preserve">https://creativecommons.org/licenses/by-sa/3.0	</v>
    </spb>
    <spb s="1">
      <v>85</v>
      <v>85</v>
      <v>85</v>
      <v>85</v>
      <v>85</v>
      <v>85</v>
      <v>85</v>
      <v>85</v>
      <v>85</v>
      <v>85</v>
    </spb>
    <spb s="0">
      <v xml:space="preserve">Wikipedia	</v>
      <v xml:space="preserve">CC BY-SA 3.0	</v>
      <v xml:space="preserve">https://en.wikipedia.org/wiki/New_Haven,_Connecticut	</v>
      <v xml:space="preserve">https://creativecommons.org/licenses/by-sa/3.0	</v>
    </spb>
    <spb s="1">
      <v>87</v>
      <v>87</v>
      <v>87</v>
      <v>87</v>
      <v>87</v>
      <v>87</v>
      <v>87</v>
      <v>87</v>
      <v>87</v>
      <v>87</v>
    </spb>
    <spb s="0">
      <v xml:space="preserve">Wikipedia	</v>
      <v xml:space="preserve">CC BY-SA 3.0	</v>
      <v xml:space="preserve">https://en.wikipedia.org/wiki/Medford,_Massachusetts	</v>
      <v xml:space="preserve">https://creativecommons.org/licenses/by-sa/3.0	</v>
    </spb>
    <spb s="1">
      <v>89</v>
      <v>89</v>
      <v>89</v>
      <v>89</v>
      <v>89</v>
      <v>89</v>
      <v>89</v>
      <v>89</v>
      <v>89</v>
      <v>89</v>
    </spb>
  </spbData>
</supportingPropertyBags>
</file>

<file path=xl/richData/rdsupportingpropertybagstructure.xml><?xml version="1.0" encoding="utf-8"?>
<spbStructures xmlns="http://schemas.microsoft.com/office/spreadsheetml/2017/richdata2" count="14">
  <s>
    <k n="SourceText" t="s"/>
    <k n="LicenseText" t="s"/>
    <k n="SourceAddress" t="s"/>
    <k n="LicenseAddress" t="s"/>
  </s>
  <s>
    <k n="Area" t="spb"/>
    <k n="Name" t="spb"/>
    <k n="Latitude" t="spb"/>
    <k n="Longitud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Population" t="spb"/>
    <k n="UniqueName" t="spb"/>
    <k n="Description" t="spb"/>
    <k n="Country/region" t="spb"/>
    <k n="Admin Division 1 (State/province/other)" t="spb"/>
  </s>
  <s>
    <k n="UniqueName" t="spb"/>
    <k n="VDPID/VSID" t="spb"/>
    <k n="Time zone(s)" t="spb"/>
    <k n="LearnMoreOnLink" t="spb"/>
  </s>
  <s>
    <k n="Area" t="spb"/>
    <k n="Name" t="spb"/>
    <k n="Households" t="spb"/>
    <k n="Population" t="spb"/>
    <k n="UniqueName" t="spb"/>
    <k n="Description" t="spb"/>
    <k n="Abbreviation" t="spb"/>
    <k n="Largest city" t="spb"/>
    <k n="Housing units" t="spb"/>
    <k n="Country/region" t="spb"/>
    <k n="Building permits" t="spb"/>
    <k n="Capital/Major City" t="spb"/>
    <k n="Persons per household" t="spb"/>
    <k n="Median household income" t="spb"/>
  </s>
  <s>
    <k n="Area" t="s"/>
    <k n="Households" t="s"/>
    <k n="Population" t="s"/>
    <k n="Housing units" t="s"/>
    <k n="Building permits" t="s"/>
    <k n="Persons per household" t="s"/>
    <k n="Median household income" t="s"/>
  </s>
  <s>
    <k n="Area" t="spb"/>
    <k n="Name" t="spb"/>
    <k n="Latitude" t="spb"/>
    <k n="Longitude" t="spb"/>
    <k n="Population" t="spb"/>
    <k n="UniqueName" t="spb"/>
    <k n="Description" t="spb"/>
    <k n="Country/region" t="spb"/>
    <k n="Admin Division 1 (State/province/other)"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3">
    <x:dxf>
      <x:numFmt numFmtId="3" formatCode="#,##0"/>
    </x:dxf>
    <x:dxf>
      <x:numFmt numFmtId="0" formatCode="General"/>
    </x:dxf>
    <x:dxf>
      <x:numFmt numFmtId="2" formatCode="0.00"/>
    </x:dxf>
  </dxfs>
  <richProperties>
    <rPr n="IsTitleField" t="b"/>
    <rPr n="IsHeroField" t="b"/>
    <rPr n="NumberFormat" t="s"/>
  </richProperties>
  <richStyles>
    <rSty>
      <rpv i="0">1</rpv>
    </rSty>
    <rSty>
      <rpv i="1">1</rpv>
    </rSty>
    <rSty dxfid="0">
      <rpv i="2">#,##0</rpv>
    </rSty>
    <rSty dxfid="1">
      <rpv i="2">0.0000</rpv>
    </rSty>
    <rSty dxfid="1">
      <rpv i="2">_-[$$-en-CA]* #,##0_-;-[$$-en-CA]* #,##0_-;_-[$$-en-CA]* "-"_-;_-@_-</rpv>
    </rSty>
    <rSty dxfid="2">
      <rpv i="2">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364B7A-248F-404E-BD23-AD11C98A95FB}" name="Table2" displayName="Table2" ref="A1:P33" totalsRowShown="0" headerRowBorderDxfId="33" tableBorderDxfId="34">
  <autoFilter ref="A1:P33" xr:uid="{6A364B7A-248F-404E-BD23-AD11C98A95FB}"/>
  <tableColumns count="16">
    <tableColumn id="1" xr3:uid="{BFD9D0F1-B409-4AB5-9309-633B8B681972}" name="City" dataDxfId="32"/>
    <tableColumn id="2" xr3:uid="{13FC46E4-DE7B-4A07-9278-97BCB4377BE6}" name="Violent Crime" dataDxfId="31"/>
    <tableColumn id="3" xr3:uid="{F4948A42-2240-455D-8BFE-FB2F91AE8B9A}" name="Violent Crime Percentile" dataDxfId="30">
      <calculatedColumnFormula>_xlfn.PERCENTRANK.INC($B$2:$B$33, B2)*100</calculatedColumnFormula>
    </tableColumn>
    <tableColumn id="4" xr3:uid="{4A025686-AA64-4F21-B812-59BBC0DE1F1D}" name="Murder" dataDxfId="29"/>
    <tableColumn id="5" xr3:uid="{DB06261E-6EC3-46EC-82E3-69AED35AA6D6}" name="Murder Percentile" dataDxfId="28">
      <calculatedColumnFormula>_xlfn.PERCENTRANK.INC($D$2:$D$33, D2)*100</calculatedColumnFormula>
    </tableColumn>
    <tableColumn id="6" xr3:uid="{34055C15-C743-4340-8A29-C1510922C4E3}" name="Robbery" dataDxfId="27"/>
    <tableColumn id="7" xr3:uid="{EF8AD301-BC50-46B2-8647-4E2C1FEA2B33}" name="Roberry Percentile" dataDxfId="26">
      <calculatedColumnFormula>_xlfn.PERCENTRANK.INC($F$2:$F$33, F2)*100</calculatedColumnFormula>
    </tableColumn>
    <tableColumn id="8" xr3:uid="{46E73170-EAD1-4ED9-81AD-F13B5A48B30A}" name="Property Crime" dataDxfId="25"/>
    <tableColumn id="9" xr3:uid="{BB516343-9186-45B2-9011-D89E64457C4C}" name="Property Crime Percentile" dataDxfId="24">
      <calculatedColumnFormula>_xlfn.PERCENTRANK.INC($H$2:$H$33, H2)*100</calculatedColumnFormula>
    </tableColumn>
    <tableColumn id="10" xr3:uid="{1899E845-E25D-4DF8-99DA-7AB09EB285C7}" name="Burglary" dataDxfId="23"/>
    <tableColumn id="11" xr3:uid="{708770C9-1FCA-4879-834A-EA85FCC78F00}" name="Burglary Percentile" dataDxfId="22">
      <calculatedColumnFormula>_xlfn.PERCENTRANK.INC($J$2:$J$33, J2)*100</calculatedColumnFormula>
    </tableColumn>
    <tableColumn id="12" xr3:uid="{47E13993-11E6-4084-B448-CF478218DCB2}" name="Theft" dataDxfId="21"/>
    <tableColumn id="13" xr3:uid="{F4F698A3-AF85-4F81-87B5-672A5F3C148D}" name="Theft Percentile" dataDxfId="20">
      <calculatedColumnFormula>_xlfn.PERCENTRANK.INC($L$2:$L$33, L2)*100</calculatedColumnFormula>
    </tableColumn>
    <tableColumn id="14" xr3:uid="{F411C9A9-EB1B-4981-B206-7519E8DAACE1}" name="Motor VehicleTheft" dataDxfId="19"/>
    <tableColumn id="15" xr3:uid="{397C272D-74D3-4400-A1D5-F88CBC391A40}" name="Motor VehicleTheft Percentile" dataDxfId="18">
      <calculatedColumnFormula>_xlfn.PERCENTRANK.INC($N$2:$N$33, N2)*100</calculatedColumnFormula>
    </tableColumn>
    <tableColumn id="16" xr3:uid="{C822EAA6-47EA-426D-B348-53AC5E1EBA4F}" name="Crime Rate Percentile" dataDxfId="17">
      <calculatedColumnFormula>ROUND(AVERAGE(C2, E2, G2, I2, K2, M2, O2), 1)</calculatedColumnFormula>
    </tableColumn>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8A7AA4-C7CB-496E-879B-EDE9CEC3B2D0}" name="Table1" displayName="Table1" ref="A1:I32" totalsRowShown="0" headerRowDxfId="16">
  <autoFilter ref="A1:I32" xr:uid="{428A7AA4-C7CB-496E-879B-EDE9CEC3B2D0}"/>
  <tableColumns count="9">
    <tableColumn id="1" xr3:uid="{F8B89127-F47F-411D-AC64-2B10A7B329F1}" name="UID" dataDxfId="15"/>
    <tableColumn id="2" xr3:uid="{7764A0DB-6A2E-45AC-AF54-6B740519CA28}" name="Rank" dataDxfId="14"/>
    <tableColumn id="3" xr3:uid="{555F3F31-B095-4D86-B557-FF54416A9F67}" name="University" dataDxfId="13"/>
    <tableColumn id="4" xr3:uid="{8A023652-F9D8-4E5D-8C96-EA97DF6C57EF}" name="City" dataDxfId="12"/>
    <tableColumn id="5" xr3:uid="{005CAA79-7DF0-48AE-A375-E2C9B652DA1B}" name="Courses" dataDxfId="11"/>
    <tableColumn id="6" xr3:uid="{C2D0B839-316F-4146-9B04-0907CB73C2EC}" name="Academic Score"/>
    <tableColumn id="7" xr3:uid="{1B9B6574-BBFA-4BCB-9C80-BA924DD7D378}" name="Staff/Teacher Ratio"/>
    <tableColumn id="8" xr3:uid="{A6C56B94-8A3B-42A1-AFA6-B281A8FDA4D2}" name="Citation Index"/>
    <tableColumn id="9" xr3:uid="{712033B1-841C-4717-BAA6-067D50AC86DC}" name="NPCURL" dataDxfId="10"/>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0D6849-7813-4865-8726-E38CDB6BF6D7}" name="Table3" displayName="Table3" ref="A1:E11" totalsRowShown="0" headerRowDxfId="8" dataDxfId="7" headerRowBorderDxfId="5" tableBorderDxfId="6">
  <autoFilter ref="A1:E11" xr:uid="{F50D6849-7813-4865-8726-E38CDB6BF6D7}"/>
  <tableColumns count="5">
    <tableColumn id="1" xr3:uid="{2A016457-B6EA-4FDE-B911-10110F473261}" name="Rank" dataDxfId="4"/>
    <tableColumn id="2" xr3:uid="{C8CEFA4D-4199-4A00-8CC3-493D8186679E}" name="University" dataDxfId="3"/>
    <tableColumn id="3" xr3:uid="{7A7FA3C0-3882-4490-8D77-DC27D52B3E93}" name="City" dataDxfId="2"/>
    <tableColumn id="4" xr3:uid="{EB4C15B2-B210-4C93-9AA4-91A5B5A2A96C}" name="Courses" dataDxfId="1"/>
    <tableColumn id="5" xr3:uid="{DD20AA71-BEB9-4416-BFD0-B46E8F68CB98}" name="Crime Rate Percentile" dataDxfId="0">
      <calculatedColumnFormula>_xlfn.XLOOKUP(C2, Crime!A:A, Crime!P:P)</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24.athens.edu/apex/prod8/f?p=174:1:3941357449598491" TargetMode="External"/><Relationship Id="rId13" Type="http://schemas.openxmlformats.org/officeDocument/2006/relationships/hyperlink" Target="http://www.ccal.edu/netprice/netprice/" TargetMode="External"/><Relationship Id="rId18" Type="http://schemas.openxmlformats.org/officeDocument/2006/relationships/hyperlink" Target="http://www.gadsdenstate.edu/netpricecalculator/" TargetMode="External"/><Relationship Id="rId26" Type="http://schemas.openxmlformats.org/officeDocument/2006/relationships/hyperlink" Target="http://www.drakestate.edu/admissions/net_price_calculator.aspx" TargetMode="External"/><Relationship Id="rId3" Type="http://schemas.openxmlformats.org/officeDocument/2006/relationships/hyperlink" Target="http://tcc.noellevitz.com/(S(miwoihs5stz5cpyifh4nczu0))/Amridge%20University/Freshman-Students" TargetMode="External"/><Relationship Id="rId21" Type="http://schemas.openxmlformats.org/officeDocument/2006/relationships/hyperlink" Target="http://www.wallacestate.edu/Financial-Aid/Net-Price-Calculator/index" TargetMode="External"/><Relationship Id="rId7" Type="http://schemas.openxmlformats.org/officeDocument/2006/relationships/hyperlink" Target="http://www.cacc.edu/graphics/netpricecalculator/npcalc.htm" TargetMode="External"/><Relationship Id="rId12" Type="http://schemas.openxmlformats.org/officeDocument/2006/relationships/hyperlink" Target="http://external.cv.edu/npc/npcalc.htm" TargetMode="External"/><Relationship Id="rId17" Type="http://schemas.openxmlformats.org/officeDocument/2006/relationships/hyperlink" Target="http://www.faulkner.edu/netprice/" TargetMode="External"/><Relationship Id="rId25" Type="http://schemas.openxmlformats.org/officeDocument/2006/relationships/hyperlink" Target="http://www.hcu.edu/share/news/npcalc.htm" TargetMode="External"/><Relationship Id="rId2" Type="http://schemas.openxmlformats.org/officeDocument/2006/relationships/hyperlink" Target="http://www.collegeportraits.org/AL/UAB/estimator/agree" TargetMode="External"/><Relationship Id="rId16" Type="http://schemas.openxmlformats.org/officeDocument/2006/relationships/hyperlink" Target="http://www.faulknerstate.edu" TargetMode="External"/><Relationship Id="rId20" Type="http://schemas.openxmlformats.org/officeDocument/2006/relationships/hyperlink" Target="http://www.wallace.edu/net_price_calculator.aspx" TargetMode="External"/><Relationship Id="rId29" Type="http://schemas.openxmlformats.org/officeDocument/2006/relationships/hyperlink" Target="http://www.jeffstateonline.com/financial/tuition/net-price-calculator/" TargetMode="External"/><Relationship Id="rId1" Type="http://schemas.openxmlformats.org/officeDocument/2006/relationships/hyperlink" Target="http://galileo.aamu.edu/netpricecalculator/npcalc.htm" TargetMode="External"/><Relationship Id="rId6" Type="http://schemas.openxmlformats.org/officeDocument/2006/relationships/hyperlink" Target="http://oira.ua.edu" TargetMode="External"/><Relationship Id="rId11" Type="http://schemas.openxmlformats.org/officeDocument/2006/relationships/hyperlink" Target="http://www.bsc.edu/fp/np-calculator.cfm" TargetMode="External"/><Relationship Id="rId24" Type="http://schemas.openxmlformats.org/officeDocument/2006/relationships/hyperlink" Target="http://hawk.huntingdon.edu/oiac/netpricecalculator/npcalc.htm" TargetMode="External"/><Relationship Id="rId32" Type="http://schemas.openxmlformats.org/officeDocument/2006/relationships/table" Target="../tables/table2.xml"/><Relationship Id="rId5" Type="http://schemas.openxmlformats.org/officeDocument/2006/relationships/hyperlink" Target="http://www.alasu.edu/cost-aid/forms/calculator/index.aspx/" TargetMode="External"/><Relationship Id="rId15" Type="http://schemas.openxmlformats.org/officeDocument/2006/relationships/hyperlink" Target="http://www.escc.edu/NetPrice/npcalc.htm" TargetMode="External"/><Relationship Id="rId23" Type="http://schemas.openxmlformats.org/officeDocument/2006/relationships/hyperlink" Target="http://www.herzing.edu/financial-aid/net-price-calculator" TargetMode="External"/><Relationship Id="rId28" Type="http://schemas.openxmlformats.org/officeDocument/2006/relationships/hyperlink" Target="http://www.jdcc.edu/netpricecalculator/" TargetMode="External"/><Relationship Id="rId10" Type="http://schemas.openxmlformats.org/officeDocument/2006/relationships/hyperlink" Target="http://www.auburn.edu/admissions/money-matters.html" TargetMode="External"/><Relationship Id="rId19" Type="http://schemas.openxmlformats.org/officeDocument/2006/relationships/hyperlink" Target="http://www.nbccosmetology.com/npcalc.htm" TargetMode="External"/><Relationship Id="rId31" Type="http://schemas.openxmlformats.org/officeDocument/2006/relationships/hyperlink" Target="http://www.judson.edu" TargetMode="External"/><Relationship Id="rId4" Type="http://schemas.openxmlformats.org/officeDocument/2006/relationships/hyperlink" Target="http://finaid.uah.edu/" TargetMode="External"/><Relationship Id="rId9" Type="http://schemas.openxmlformats.org/officeDocument/2006/relationships/hyperlink" Target="http://www.aum.edu/admissions/financial-information/price-estimator-calculator" TargetMode="External"/><Relationship Id="rId14" Type="http://schemas.openxmlformats.org/officeDocument/2006/relationships/hyperlink" Target="http://tcc.noellevitz.com/edmc/Transfer-Students?iframe=true&amp;width=600&amp;height=1000" TargetMode="External"/><Relationship Id="rId22" Type="http://schemas.openxmlformats.org/officeDocument/2006/relationships/hyperlink" Target="http://www.wccs.edu/index.php?page=npc.html" TargetMode="External"/><Relationship Id="rId27" Type="http://schemas.openxmlformats.org/officeDocument/2006/relationships/hyperlink" Target="http://www.jsu.edu/finaid/" TargetMode="External"/><Relationship Id="rId30" Type="http://schemas.openxmlformats.org/officeDocument/2006/relationships/hyperlink" Target="http://calhoun.studentaidcalculator.c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90032-D11F-4DDC-8559-B21BD8F594E8}">
  <dimension ref="A1:P33"/>
  <sheetViews>
    <sheetView workbookViewId="0">
      <pane xSplit="1" ySplit="1" topLeftCell="B2" activePane="bottomRight" state="frozen"/>
      <selection pane="bottomRight" activeCell="D9" sqref="D9"/>
      <selection pane="bottomLeft"/>
      <selection pane="topRight"/>
    </sheetView>
  </sheetViews>
  <sheetFormatPr defaultRowHeight="15"/>
  <cols>
    <col min="1" max="1" width="23.7109375" bestFit="1" customWidth="1"/>
    <col min="2" max="2" width="15.140625" bestFit="1" customWidth="1"/>
    <col min="3" max="3" width="23.7109375" bestFit="1" customWidth="1"/>
    <col min="4" max="4" width="9.42578125" bestFit="1" customWidth="1"/>
    <col min="5" max="5" width="18.5703125" bestFit="1" customWidth="1"/>
    <col min="6" max="6" width="10.7109375" bestFit="1" customWidth="1"/>
    <col min="7" max="7" width="19.7109375" bestFit="1" customWidth="1"/>
    <col min="8" max="8" width="16.5703125" bestFit="1" customWidth="1"/>
    <col min="9" max="9" width="25.140625" bestFit="1" customWidth="1"/>
    <col min="10" max="10" width="10.7109375" bestFit="1" customWidth="1"/>
    <col min="11" max="11" width="19.85546875" bestFit="1" customWidth="1"/>
    <col min="12" max="12" width="8.140625" bestFit="1" customWidth="1"/>
    <col min="13" max="13" width="17.140625" bestFit="1" customWidth="1"/>
    <col min="14" max="14" width="19.85546875" bestFit="1" customWidth="1"/>
    <col min="15" max="15" width="28.42578125" bestFit="1" customWidth="1"/>
    <col min="16" max="16" width="22.28515625" bestFit="1" customWidth="1"/>
  </cols>
  <sheetData>
    <row r="1" spans="1:16" s="4" customFormat="1" ht="24">
      <c r="A1" s="12" t="s">
        <v>0</v>
      </c>
      <c r="B1" s="13" t="s">
        <v>1</v>
      </c>
      <c r="C1" s="14" t="s">
        <v>2</v>
      </c>
      <c r="D1" s="13" t="s">
        <v>3</v>
      </c>
      <c r="E1" s="14" t="s">
        <v>4</v>
      </c>
      <c r="F1" s="13" t="s">
        <v>5</v>
      </c>
      <c r="G1" s="14" t="s">
        <v>6</v>
      </c>
      <c r="H1" s="13" t="s">
        <v>7</v>
      </c>
      <c r="I1" s="14" t="s">
        <v>8</v>
      </c>
      <c r="J1" s="13" t="s">
        <v>9</v>
      </c>
      <c r="K1" s="14" t="s">
        <v>10</v>
      </c>
      <c r="L1" s="13" t="s">
        <v>11</v>
      </c>
      <c r="M1" s="14" t="s">
        <v>12</v>
      </c>
      <c r="N1" s="13" t="s">
        <v>13</v>
      </c>
      <c r="O1" s="15" t="s">
        <v>14</v>
      </c>
      <c r="P1" s="16" t="s">
        <v>15</v>
      </c>
    </row>
    <row r="2" spans="1:16">
      <c r="A2" s="8" t="e" vm="1">
        <v>#VALUE!</v>
      </c>
      <c r="B2" s="8">
        <v>497</v>
      </c>
      <c r="C2" s="10">
        <f>_xlfn.PERCENTRANK.INC($B$2:$B$33, B2)*100</f>
        <v>9.6</v>
      </c>
      <c r="D2" s="8">
        <v>2.2999999999999998</v>
      </c>
      <c r="E2" s="10">
        <f>_xlfn.PERCENTRANK.INC($D$2:$D$33, D2)*100</f>
        <v>0</v>
      </c>
      <c r="F2" s="8">
        <v>35.200000000000003</v>
      </c>
      <c r="G2" s="10">
        <f>_xlfn.PERCENTRANK.INC($F$2:$F$33, F2)*100</f>
        <v>0</v>
      </c>
      <c r="H2" s="9">
        <v>2075.4</v>
      </c>
      <c r="I2" s="10">
        <f>_xlfn.PERCENTRANK.INC($H$2:$H$33, H2)*100</f>
        <v>0</v>
      </c>
      <c r="J2" s="8">
        <v>624.20000000000005</v>
      </c>
      <c r="K2" s="10">
        <f>_xlfn.PERCENTRANK.INC($J$2:$J$33, J2)*100</f>
        <v>19.3</v>
      </c>
      <c r="L2" s="9">
        <v>1352.2</v>
      </c>
      <c r="M2" s="10">
        <f>_xlfn.PERCENTRANK.INC($L$2:$L$33, L2)*100</f>
        <v>0</v>
      </c>
      <c r="N2" s="8">
        <v>99.1</v>
      </c>
      <c r="O2" s="10">
        <f>_xlfn.PERCENTRANK.INC($N$2:$N$33, N2)*100</f>
        <v>3.2</v>
      </c>
      <c r="P2" s="11">
        <f>ROUND(AVERAGE(C2, E2, G2, I2, K2, M2, O2), 1)</f>
        <v>4.5999999999999996</v>
      </c>
    </row>
    <row r="3" spans="1:16">
      <c r="A3" s="8" t="e" vm="2">
        <v>#VALUE!</v>
      </c>
      <c r="B3" s="8">
        <v>529.5</v>
      </c>
      <c r="C3" s="10">
        <f>_xlfn.PERCENTRANK.INC($B$2:$B$33, B3)*100</f>
        <v>22.5</v>
      </c>
      <c r="D3" s="8">
        <v>3.5</v>
      </c>
      <c r="E3" s="10">
        <f>_xlfn.PERCENTRANK.INC($D$2:$D$33, D3)*100</f>
        <v>6.4</v>
      </c>
      <c r="F3" s="8">
        <v>120.8</v>
      </c>
      <c r="G3" s="10">
        <f>_xlfn.PERCENTRANK.INC($F$2:$F$33, F3)*100</f>
        <v>28.999999999999996</v>
      </c>
      <c r="H3" s="9">
        <v>2366.8000000000002</v>
      </c>
      <c r="I3" s="10">
        <f>_xlfn.PERCENTRANK.INC($H$2:$H$33, H3)*100</f>
        <v>6.4</v>
      </c>
      <c r="J3" s="8">
        <v>529.4</v>
      </c>
      <c r="K3" s="10">
        <f>_xlfn.PERCENTRANK.INC($J$2:$J$33, J3)*100</f>
        <v>6.4</v>
      </c>
      <c r="L3" s="9">
        <v>1656.2</v>
      </c>
      <c r="M3" s="10">
        <f>_xlfn.PERCENTRANK.INC($L$2:$L$33, L3)*100</f>
        <v>6.4</v>
      </c>
      <c r="N3" s="8">
        <v>181.2</v>
      </c>
      <c r="O3" s="10">
        <f>_xlfn.PERCENTRANK.INC($N$2:$N$33, N3)*100</f>
        <v>28.999999999999996</v>
      </c>
      <c r="P3" s="11">
        <f t="shared" ref="P3:P33" si="0">ROUND(AVERAGE(C3, E3, G3, I3, K3, M3, O3), 1)</f>
        <v>15.2</v>
      </c>
    </row>
    <row r="4" spans="1:16">
      <c r="A4" s="8" t="e" vm="3">
        <v>#VALUE!</v>
      </c>
      <c r="B4" s="8">
        <v>495.7</v>
      </c>
      <c r="C4" s="10">
        <f>_xlfn.PERCENTRANK.INC($B$2:$B$33, B4)*100</f>
        <v>6.4</v>
      </c>
      <c r="D4" s="8">
        <v>5.8</v>
      </c>
      <c r="E4" s="10">
        <f>_xlfn.PERCENTRANK.INC($D$2:$D$33, D4)*100</f>
        <v>25.8</v>
      </c>
      <c r="F4" s="8">
        <v>173.7</v>
      </c>
      <c r="G4" s="10">
        <f>_xlfn.PERCENTRANK.INC($F$2:$F$33, F4)*100</f>
        <v>80.600000000000009</v>
      </c>
      <c r="H4" s="9">
        <v>2357.6999999999998</v>
      </c>
      <c r="I4" s="10">
        <f>_xlfn.PERCENTRANK.INC($H$2:$H$33, H4)*100</f>
        <v>3.2</v>
      </c>
      <c r="J4" s="8">
        <v>445.9</v>
      </c>
      <c r="K4" s="10">
        <f>_xlfn.PERCENTRANK.INC($J$2:$J$33, J4)*100</f>
        <v>0</v>
      </c>
      <c r="L4" s="9">
        <v>1480.8</v>
      </c>
      <c r="M4" s="10">
        <f>_xlfn.PERCENTRANK.INC($L$2:$L$33, L4)*100</f>
        <v>3.2</v>
      </c>
      <c r="N4" s="8">
        <v>431.1</v>
      </c>
      <c r="O4" s="10">
        <f>_xlfn.PERCENTRANK.INC($N$2:$N$33, N4)*100</f>
        <v>74.099999999999994</v>
      </c>
      <c r="P4" s="11">
        <f t="shared" si="0"/>
        <v>27.6</v>
      </c>
    </row>
    <row r="5" spans="1:16">
      <c r="A5" s="8" t="e" vm="4">
        <v>#VALUE!</v>
      </c>
      <c r="B5" s="8">
        <v>612.70000000000005</v>
      </c>
      <c r="C5" s="10">
        <f>_xlfn.PERCENTRANK.INC($B$2:$B$33, B5)*100</f>
        <v>54.800000000000004</v>
      </c>
      <c r="D5" s="8">
        <v>5.5</v>
      </c>
      <c r="E5" s="10">
        <f>_xlfn.PERCENTRANK.INC($D$2:$D$33, D5)*100</f>
        <v>19.3</v>
      </c>
      <c r="F5" s="8">
        <v>128.80000000000001</v>
      </c>
      <c r="G5" s="10">
        <f>_xlfn.PERCENTRANK.INC($F$2:$F$33, F5)*100</f>
        <v>45.1</v>
      </c>
      <c r="H5" s="9">
        <v>2580.1999999999998</v>
      </c>
      <c r="I5" s="10">
        <f>_xlfn.PERCENTRANK.INC($H$2:$H$33, H5)*100</f>
        <v>9.6</v>
      </c>
      <c r="J5" s="8">
        <v>506.7</v>
      </c>
      <c r="K5" s="10">
        <f>_xlfn.PERCENTRANK.INC($J$2:$J$33, J5)*100</f>
        <v>3.2</v>
      </c>
      <c r="L5" s="9">
        <v>1929.5</v>
      </c>
      <c r="M5" s="10">
        <f>_xlfn.PERCENTRANK.INC($L$2:$L$33, L5)*100</f>
        <v>19.3</v>
      </c>
      <c r="N5" s="8">
        <v>144</v>
      </c>
      <c r="O5" s="10">
        <f>_xlfn.PERCENTRANK.INC($N$2:$N$33, N5)*100</f>
        <v>12.9</v>
      </c>
      <c r="P5" s="11">
        <f t="shared" si="0"/>
        <v>23.5</v>
      </c>
    </row>
    <row r="6" spans="1:16">
      <c r="A6" s="8" t="e" vm="5">
        <v>#VALUE!</v>
      </c>
      <c r="B6" s="8">
        <v>409.3</v>
      </c>
      <c r="C6" s="10">
        <f>_xlfn.PERCENTRANK.INC($B$2:$B$33, B6)*100</f>
        <v>0</v>
      </c>
      <c r="D6" s="8">
        <v>3</v>
      </c>
      <c r="E6" s="10">
        <f>_xlfn.PERCENTRANK.INC($D$2:$D$33, D6)*100</f>
        <v>3.2</v>
      </c>
      <c r="F6" s="8">
        <v>60.9</v>
      </c>
      <c r="G6" s="10">
        <f>_xlfn.PERCENTRANK.INC($F$2:$F$33, F6)*100</f>
        <v>3.2</v>
      </c>
      <c r="H6" s="9">
        <v>2838.6</v>
      </c>
      <c r="I6" s="10">
        <f>_xlfn.PERCENTRANK.INC($H$2:$H$33, H6)*100</f>
        <v>16.100000000000001</v>
      </c>
      <c r="J6" s="8">
        <v>744.2</v>
      </c>
      <c r="K6" s="10">
        <f>_xlfn.PERCENTRANK.INC($J$2:$J$33, J6)*100</f>
        <v>51.6</v>
      </c>
      <c r="L6" s="9">
        <v>2000.8</v>
      </c>
      <c r="M6" s="10">
        <f>_xlfn.PERCENTRANK.INC($L$2:$L$33, L6)*100</f>
        <v>22.5</v>
      </c>
      <c r="N6" s="8">
        <v>93.6</v>
      </c>
      <c r="O6" s="10">
        <f>_xlfn.PERCENTRANK.INC($N$2:$N$33, N6)*100</f>
        <v>0</v>
      </c>
      <c r="P6" s="11">
        <f t="shared" si="0"/>
        <v>13.8</v>
      </c>
    </row>
    <row r="7" spans="1:16">
      <c r="A7" s="8" t="e" vm="6">
        <v>#VALUE!</v>
      </c>
      <c r="B7" s="8">
        <v>522.20000000000005</v>
      </c>
      <c r="C7" s="10">
        <f>_xlfn.PERCENTRANK.INC($B$2:$B$33, B7)*100</f>
        <v>19.3</v>
      </c>
      <c r="D7" s="8">
        <v>6.9</v>
      </c>
      <c r="E7" s="10">
        <f>_xlfn.PERCENTRANK.INC($D$2:$D$33, D7)*100</f>
        <v>48.3</v>
      </c>
      <c r="F7" s="8">
        <v>121</v>
      </c>
      <c r="G7" s="10">
        <f>_xlfn.PERCENTRANK.INC($F$2:$F$33, F7)*100</f>
        <v>32.200000000000003</v>
      </c>
      <c r="H7" s="9">
        <v>2818</v>
      </c>
      <c r="I7" s="10">
        <f>_xlfn.PERCENTRANK.INC($H$2:$H$33, H7)*100</f>
        <v>12.9</v>
      </c>
      <c r="J7" s="8">
        <v>783.5</v>
      </c>
      <c r="K7" s="10">
        <f>_xlfn.PERCENTRANK.INC($J$2:$J$33, J7)*100</f>
        <v>57.999999999999993</v>
      </c>
      <c r="L7" s="9">
        <v>1865.8</v>
      </c>
      <c r="M7" s="10">
        <f>_xlfn.PERCENTRANK.INC($L$2:$L$33, L7)*100</f>
        <v>12.9</v>
      </c>
      <c r="N7" s="8">
        <v>168.7</v>
      </c>
      <c r="O7" s="10">
        <f>_xlfn.PERCENTRANK.INC($N$2:$N$33, N7)*100</f>
        <v>25.8</v>
      </c>
      <c r="P7" s="11">
        <f t="shared" si="0"/>
        <v>29.9</v>
      </c>
    </row>
    <row r="8" spans="1:16">
      <c r="A8" s="8" t="e" vm="7">
        <v>#VALUE!</v>
      </c>
      <c r="B8" s="8">
        <v>506.7</v>
      </c>
      <c r="C8" s="10">
        <f>_xlfn.PERCENTRANK.INC($B$2:$B$33, B8)*100</f>
        <v>12.9</v>
      </c>
      <c r="D8" s="8">
        <v>8.9</v>
      </c>
      <c r="E8" s="10">
        <f>_xlfn.PERCENTRANK.INC($D$2:$D$33, D8)*100</f>
        <v>87</v>
      </c>
      <c r="F8" s="8">
        <v>120.7</v>
      </c>
      <c r="G8" s="10">
        <f>_xlfn.PERCENTRANK.INC($F$2:$F$33, F8)*100</f>
        <v>25.8</v>
      </c>
      <c r="H8" s="9">
        <v>2941.3</v>
      </c>
      <c r="I8" s="10">
        <f>_xlfn.PERCENTRANK.INC($H$2:$H$33, H8)*100</f>
        <v>22.5</v>
      </c>
      <c r="J8" s="8">
        <v>630</v>
      </c>
      <c r="K8" s="10">
        <f>_xlfn.PERCENTRANK.INC($J$2:$J$33, J8)*100</f>
        <v>25.8</v>
      </c>
      <c r="L8" s="9">
        <v>2158.6</v>
      </c>
      <c r="M8" s="10">
        <f>_xlfn.PERCENTRANK.INC($L$2:$L$33, L8)*100</f>
        <v>32.200000000000003</v>
      </c>
      <c r="N8" s="8">
        <v>256.60000000000002</v>
      </c>
      <c r="O8" s="10">
        <f>_xlfn.PERCENTRANK.INC($N$2:$N$33, N8)*100</f>
        <v>45.1</v>
      </c>
      <c r="P8" s="11">
        <f t="shared" si="0"/>
        <v>35.9</v>
      </c>
    </row>
    <row r="9" spans="1:16">
      <c r="A9" s="8" t="e" vm="8">
        <v>#VALUE!</v>
      </c>
      <c r="B9" s="8">
        <v>534.4</v>
      </c>
      <c r="C9" s="10">
        <f>_xlfn.PERCENTRANK.INC($B$2:$B$33, B9)*100</f>
        <v>32.200000000000003</v>
      </c>
      <c r="D9" s="8">
        <v>16.3</v>
      </c>
      <c r="E9" s="10">
        <f>_xlfn.PERCENTRANK.INC($D$2:$D$33, D9)*100</f>
        <v>96.7</v>
      </c>
      <c r="F9" s="8">
        <v>168</v>
      </c>
      <c r="G9" s="10">
        <f>_xlfn.PERCENTRANK.INC($F$2:$F$33, F9)*100</f>
        <v>74.099999999999994</v>
      </c>
      <c r="H9" s="9">
        <v>3030.2</v>
      </c>
      <c r="I9" s="10">
        <f>_xlfn.PERCENTRANK.INC($H$2:$H$33, H9)*100</f>
        <v>25.8</v>
      </c>
      <c r="J9" s="8">
        <v>532.20000000000005</v>
      </c>
      <c r="K9" s="10">
        <f>_xlfn.PERCENTRANK.INC($J$2:$J$33, J9)*100</f>
        <v>9.6</v>
      </c>
      <c r="L9" s="9">
        <v>2196.4</v>
      </c>
      <c r="M9" s="10">
        <f>_xlfn.PERCENTRANK.INC($L$2:$L$33, L9)*100</f>
        <v>41.9</v>
      </c>
      <c r="N9" s="8">
        <v>301.60000000000002</v>
      </c>
      <c r="O9" s="10">
        <f>_xlfn.PERCENTRANK.INC($N$2:$N$33, N9)*100</f>
        <v>54.800000000000004</v>
      </c>
      <c r="P9" s="11">
        <f t="shared" si="0"/>
        <v>47.9</v>
      </c>
    </row>
    <row r="10" spans="1:16">
      <c r="A10" s="8" t="e" vm="9">
        <v>#VALUE!</v>
      </c>
      <c r="B10" s="8">
        <v>529.70000000000005</v>
      </c>
      <c r="C10" s="10">
        <f>_xlfn.PERCENTRANK.INC($B$2:$B$33, B10)*100</f>
        <v>25.8</v>
      </c>
      <c r="D10" s="8">
        <v>5.0999999999999996</v>
      </c>
      <c r="E10" s="10">
        <f>_xlfn.PERCENTRANK.INC($D$2:$D$33, D10)*100</f>
        <v>9.6</v>
      </c>
      <c r="F10" s="8">
        <v>110.4</v>
      </c>
      <c r="G10" s="10">
        <f>_xlfn.PERCENTRANK.INC($F$2:$F$33, F10)*100</f>
        <v>22.5</v>
      </c>
      <c r="H10" s="9">
        <v>3105.8</v>
      </c>
      <c r="I10" s="10">
        <f>_xlfn.PERCENTRANK.INC($H$2:$H$33, H10)*100</f>
        <v>35.4</v>
      </c>
      <c r="J10" s="8">
        <v>728.1</v>
      </c>
      <c r="K10" s="10">
        <f>_xlfn.PERCENTRANK.INC($J$2:$J$33, J10)*100</f>
        <v>48.3</v>
      </c>
      <c r="L10" s="9">
        <v>2168.4</v>
      </c>
      <c r="M10" s="10">
        <f>_xlfn.PERCENTRANK.INC($L$2:$L$33, L10)*100</f>
        <v>35.4</v>
      </c>
      <c r="N10" s="8">
        <v>209.2</v>
      </c>
      <c r="O10" s="10">
        <f>_xlfn.PERCENTRANK.INC($N$2:$N$33, N10)*100</f>
        <v>38.700000000000003</v>
      </c>
      <c r="P10" s="11">
        <f t="shared" si="0"/>
        <v>30.8</v>
      </c>
    </row>
    <row r="11" spans="1:16">
      <c r="A11" s="8" t="e" vm="10">
        <v>#VALUE!</v>
      </c>
      <c r="B11" s="8">
        <v>720.2</v>
      </c>
      <c r="C11" s="10">
        <f>_xlfn.PERCENTRANK.INC($B$2:$B$33, B11)*100</f>
        <v>67.7</v>
      </c>
      <c r="D11" s="8">
        <v>5.2</v>
      </c>
      <c r="E11" s="10">
        <f>_xlfn.PERCENTRANK.INC($D$2:$D$33, D11)*100</f>
        <v>16.100000000000001</v>
      </c>
      <c r="F11" s="8">
        <v>131.1</v>
      </c>
      <c r="G11" s="10">
        <f>_xlfn.PERCENTRANK.INC($F$2:$F$33, F11)*100</f>
        <v>54.800000000000004</v>
      </c>
      <c r="H11" s="9">
        <v>3075.5</v>
      </c>
      <c r="I11" s="10">
        <f>_xlfn.PERCENTRANK.INC($H$2:$H$33, H11)*100</f>
        <v>32.200000000000003</v>
      </c>
      <c r="J11" s="8">
        <v>669.1</v>
      </c>
      <c r="K11" s="10">
        <f>_xlfn.PERCENTRANK.INC($J$2:$J$33, J11)*100</f>
        <v>32.200000000000003</v>
      </c>
      <c r="L11" s="9">
        <v>2286.6</v>
      </c>
      <c r="M11" s="10">
        <f>_xlfn.PERCENTRANK.INC($L$2:$L$33, L11)*100</f>
        <v>51.6</v>
      </c>
      <c r="N11" s="8">
        <v>119.7</v>
      </c>
      <c r="O11" s="10">
        <f>_xlfn.PERCENTRANK.INC($N$2:$N$33, N11)*100</f>
        <v>6.4</v>
      </c>
      <c r="P11" s="11">
        <f t="shared" si="0"/>
        <v>37.299999999999997</v>
      </c>
    </row>
    <row r="12" spans="1:16">
      <c r="A12" s="8" t="e" vm="11">
        <v>#VALUE!</v>
      </c>
      <c r="B12" s="8">
        <v>901.5</v>
      </c>
      <c r="C12" s="10">
        <f>_xlfn.PERCENTRANK.INC($B$2:$B$33, B12)*100</f>
        <v>90.3</v>
      </c>
      <c r="D12" s="8">
        <v>19.3</v>
      </c>
      <c r="E12" s="10">
        <f>_xlfn.PERCENTRANK.INC($D$2:$D$33, D12)*100</f>
        <v>100</v>
      </c>
      <c r="F12" s="8">
        <v>247</v>
      </c>
      <c r="G12" s="10">
        <f>_xlfn.PERCENTRANK.INC($F$2:$F$33, F12)*100</f>
        <v>96.7</v>
      </c>
      <c r="H12" s="9">
        <v>2935.8</v>
      </c>
      <c r="I12" s="10">
        <f>_xlfn.PERCENTRANK.INC($H$2:$H$33, H12)*100</f>
        <v>19.3</v>
      </c>
      <c r="J12" s="8">
        <v>700.9</v>
      </c>
      <c r="K12" s="10">
        <f>_xlfn.PERCENTRANK.INC($J$2:$J$33, J12)*100</f>
        <v>38.700000000000003</v>
      </c>
      <c r="L12" s="9">
        <v>1769.3</v>
      </c>
      <c r="M12" s="10">
        <f>_xlfn.PERCENTRANK.INC($L$2:$L$33, L12)*100</f>
        <v>9.6</v>
      </c>
      <c r="N12" s="8">
        <v>465.7</v>
      </c>
      <c r="O12" s="10">
        <f>_xlfn.PERCENTRANK.INC($N$2:$N$33, N12)*100</f>
        <v>77.400000000000006</v>
      </c>
      <c r="P12" s="11">
        <f t="shared" si="0"/>
        <v>61.7</v>
      </c>
    </row>
    <row r="13" spans="1:16">
      <c r="A13" s="8" t="e" vm="12">
        <v>#VALUE!</v>
      </c>
      <c r="B13" s="8">
        <v>510.1</v>
      </c>
      <c r="C13" s="10">
        <f>_xlfn.PERCENTRANK.INC($B$2:$B$33, B13)*100</f>
        <v>16.100000000000001</v>
      </c>
      <c r="D13" s="8">
        <v>6.6</v>
      </c>
      <c r="E13" s="10">
        <f>_xlfn.PERCENTRANK.INC($D$2:$D$33, D13)*100</f>
        <v>41.9</v>
      </c>
      <c r="F13" s="8">
        <v>156.80000000000001</v>
      </c>
      <c r="G13" s="10">
        <f>_xlfn.PERCENTRANK.INC($F$2:$F$33, F13)*100</f>
        <v>67.7</v>
      </c>
      <c r="H13" s="9">
        <v>3285.8</v>
      </c>
      <c r="I13" s="10">
        <f>_xlfn.PERCENTRANK.INC($H$2:$H$33, H13)*100</f>
        <v>38.700000000000003</v>
      </c>
      <c r="J13" s="8">
        <v>536.1</v>
      </c>
      <c r="K13" s="10">
        <f>_xlfn.PERCENTRANK.INC($J$2:$J$33, J13)*100</f>
        <v>16.100000000000001</v>
      </c>
      <c r="L13" s="9">
        <v>2470</v>
      </c>
      <c r="M13" s="10">
        <f>_xlfn.PERCENTRANK.INC($L$2:$L$33, L13)*100</f>
        <v>64.5</v>
      </c>
      <c r="N13" s="8">
        <v>279.7</v>
      </c>
      <c r="O13" s="10">
        <f>_xlfn.PERCENTRANK.INC($N$2:$N$33, N13)*100</f>
        <v>51.6</v>
      </c>
      <c r="P13" s="11">
        <f t="shared" si="0"/>
        <v>42.4</v>
      </c>
    </row>
    <row r="14" spans="1:16">
      <c r="A14" s="8" t="e" vm="13">
        <v>#VALUE!</v>
      </c>
      <c r="B14" s="8">
        <v>734.5</v>
      </c>
      <c r="C14" s="10">
        <f>_xlfn.PERCENTRANK.INC($B$2:$B$33, B14)*100</f>
        <v>70.899999999999991</v>
      </c>
      <c r="D14" s="8">
        <v>6.9</v>
      </c>
      <c r="E14" s="10">
        <f>_xlfn.PERCENTRANK.INC($D$2:$D$33, D14)*100</f>
        <v>48.3</v>
      </c>
      <c r="F14" s="8">
        <v>228.9</v>
      </c>
      <c r="G14" s="10">
        <f>_xlfn.PERCENTRANK.INC($F$2:$F$33, F14)*100</f>
        <v>93.5</v>
      </c>
      <c r="H14" s="9">
        <v>3067.1</v>
      </c>
      <c r="I14" s="10">
        <f>_xlfn.PERCENTRANK.INC($H$2:$H$33, H14)*100</f>
        <v>28.999999999999996</v>
      </c>
      <c r="J14" s="8">
        <v>848.1</v>
      </c>
      <c r="K14" s="10">
        <f>_xlfn.PERCENTRANK.INC($J$2:$J$33, J14)*100</f>
        <v>70.899999999999991</v>
      </c>
      <c r="L14" s="9">
        <v>2064.6999999999998</v>
      </c>
      <c r="M14" s="10">
        <f>_xlfn.PERCENTRANK.INC($L$2:$L$33, L14)*100</f>
        <v>25.8</v>
      </c>
      <c r="N14" s="8">
        <v>367.2</v>
      </c>
      <c r="O14" s="10">
        <f>_xlfn.PERCENTRANK.INC($N$2:$N$33, N14)*100</f>
        <v>67.7</v>
      </c>
      <c r="P14" s="11">
        <f t="shared" si="0"/>
        <v>58</v>
      </c>
    </row>
    <row r="15" spans="1:16">
      <c r="A15" s="8" t="e" vm="14">
        <v>#VALUE!</v>
      </c>
      <c r="B15" s="8">
        <v>605.4</v>
      </c>
      <c r="C15" s="10">
        <f>_xlfn.PERCENTRANK.INC($B$2:$B$33, B15)*100</f>
        <v>48.3</v>
      </c>
      <c r="D15" s="8">
        <v>5.0999999999999996</v>
      </c>
      <c r="E15" s="10">
        <f>_xlfn.PERCENTRANK.INC($D$2:$D$33, D15)*100</f>
        <v>9.6</v>
      </c>
      <c r="F15" s="8">
        <v>95.5</v>
      </c>
      <c r="G15" s="10">
        <f>_xlfn.PERCENTRANK.INC($F$2:$F$33, F15)*100</f>
        <v>12.9</v>
      </c>
      <c r="H15" s="9">
        <v>3370.5</v>
      </c>
      <c r="I15" s="10">
        <f>_xlfn.PERCENTRANK.INC($H$2:$H$33, H15)*100</f>
        <v>41.9</v>
      </c>
      <c r="J15" s="8">
        <v>697.4</v>
      </c>
      <c r="K15" s="10">
        <f>_xlfn.PERCENTRANK.INC($J$2:$J$33, J15)*100</f>
        <v>35.4</v>
      </c>
      <c r="L15" s="9">
        <v>2521.4</v>
      </c>
      <c r="M15" s="10">
        <f>_xlfn.PERCENTRANK.INC($L$2:$L$33, L15)*100</f>
        <v>70.899999999999991</v>
      </c>
      <c r="N15" s="8">
        <v>151.69999999999999</v>
      </c>
      <c r="O15" s="10">
        <f>_xlfn.PERCENTRANK.INC($N$2:$N$33, N15)*100</f>
        <v>16.100000000000001</v>
      </c>
      <c r="P15" s="11">
        <f t="shared" si="0"/>
        <v>33.6</v>
      </c>
    </row>
    <row r="16" spans="1:16">
      <c r="A16" s="8" t="e" vm="15">
        <v>#VALUE!</v>
      </c>
      <c r="B16" s="8">
        <v>529.9</v>
      </c>
      <c r="C16" s="10">
        <f>_xlfn.PERCENTRANK.INC($B$2:$B$33, B16)*100</f>
        <v>28.999999999999996</v>
      </c>
      <c r="D16" s="8">
        <v>5.8</v>
      </c>
      <c r="E16" s="10">
        <f>_xlfn.PERCENTRANK.INC($D$2:$D$33, D16)*100</f>
        <v>25.8</v>
      </c>
      <c r="F16" s="8">
        <v>81.099999999999994</v>
      </c>
      <c r="G16" s="10">
        <f>_xlfn.PERCENTRANK.INC($F$2:$F$33, F16)*100</f>
        <v>6.4</v>
      </c>
      <c r="H16" s="9">
        <v>3418.3</v>
      </c>
      <c r="I16" s="10">
        <f>_xlfn.PERCENTRANK.INC($H$2:$H$33, H16)*100</f>
        <v>45.1</v>
      </c>
      <c r="J16" s="8">
        <v>662.9</v>
      </c>
      <c r="K16" s="10">
        <f>_xlfn.PERCENTRANK.INC($J$2:$J$33, J16)*100</f>
        <v>28.999999999999996</v>
      </c>
      <c r="L16" s="9">
        <v>2476.1</v>
      </c>
      <c r="M16" s="10">
        <f>_xlfn.PERCENTRANK.INC($L$2:$L$33, L16)*100</f>
        <v>67.7</v>
      </c>
      <c r="N16" s="8">
        <v>279.3</v>
      </c>
      <c r="O16" s="10">
        <f>_xlfn.PERCENTRANK.INC($N$2:$N$33, N16)*100</f>
        <v>48.3</v>
      </c>
      <c r="P16" s="11">
        <f t="shared" si="0"/>
        <v>35.9</v>
      </c>
    </row>
    <row r="17" spans="1:16">
      <c r="A17" s="8" t="e" vm="16">
        <v>#VALUE!</v>
      </c>
      <c r="B17" s="8">
        <v>537.29999999999995</v>
      </c>
      <c r="C17" s="10">
        <f>_xlfn.PERCENTRANK.INC($B$2:$B$33, B17)*100</f>
        <v>35.4</v>
      </c>
      <c r="D17" s="8">
        <v>6.1</v>
      </c>
      <c r="E17" s="10">
        <f>_xlfn.PERCENTRANK.INC($D$2:$D$33, D17)*100</f>
        <v>32.200000000000003</v>
      </c>
      <c r="F17" s="8">
        <v>136.9</v>
      </c>
      <c r="G17" s="10">
        <f>_xlfn.PERCENTRANK.INC($F$2:$F$33, F17)*100</f>
        <v>57.999999999999993</v>
      </c>
      <c r="H17" s="9">
        <v>3439.4</v>
      </c>
      <c r="I17" s="10">
        <f>_xlfn.PERCENTRANK.INC($H$2:$H$33, H17)*100</f>
        <v>51.6</v>
      </c>
      <c r="J17" s="8">
        <v>751.3</v>
      </c>
      <c r="K17" s="10">
        <f>_xlfn.PERCENTRANK.INC($J$2:$J$33, J17)*100</f>
        <v>54.800000000000004</v>
      </c>
      <c r="L17" s="9">
        <v>2196.6</v>
      </c>
      <c r="M17" s="10">
        <f>_xlfn.PERCENTRANK.INC($L$2:$L$33, L17)*100</f>
        <v>45.1</v>
      </c>
      <c r="N17" s="8">
        <v>491.5</v>
      </c>
      <c r="O17" s="10">
        <f>_xlfn.PERCENTRANK.INC($N$2:$N$33, N17)*100</f>
        <v>80.600000000000009</v>
      </c>
      <c r="P17" s="11">
        <f t="shared" si="0"/>
        <v>51.1</v>
      </c>
    </row>
    <row r="18" spans="1:16">
      <c r="A18" s="5" t="e" vm="17">
        <v>#VALUE!</v>
      </c>
      <c r="B18" s="5">
        <v>556.29999999999995</v>
      </c>
      <c r="C18" s="10">
        <f>_xlfn.PERCENTRANK.INC($B$2:$B$33, B18)*100</f>
        <v>38.700000000000003</v>
      </c>
      <c r="D18" s="5">
        <v>7.3</v>
      </c>
      <c r="E18" s="10">
        <f>_xlfn.PERCENTRANK.INC($D$2:$D$33, D18)*100</f>
        <v>57.999999999999993</v>
      </c>
      <c r="F18" s="5">
        <v>130.19999999999999</v>
      </c>
      <c r="G18" s="10">
        <f>_xlfn.PERCENTRANK.INC($F$2:$F$33, F18)*100</f>
        <v>51.6</v>
      </c>
      <c r="H18" s="6">
        <v>3439.3</v>
      </c>
      <c r="I18" s="10">
        <f>_xlfn.PERCENTRANK.INC($H$2:$H$33, H18)*100</f>
        <v>48.3</v>
      </c>
      <c r="J18" s="5">
        <v>954.3</v>
      </c>
      <c r="K18" s="10">
        <f>_xlfn.PERCENTRANK.INC($J$2:$J$33, J18)*100</f>
        <v>74.099999999999994</v>
      </c>
      <c r="L18" s="6">
        <v>1881.1</v>
      </c>
      <c r="M18" s="10">
        <f>_xlfn.PERCENTRANK.INC($L$2:$L$33, L18)*100</f>
        <v>16.100000000000001</v>
      </c>
      <c r="N18" s="5">
        <v>603.9</v>
      </c>
      <c r="O18" s="10">
        <f>_xlfn.PERCENTRANK.INC($N$2:$N$33, N18)*100</f>
        <v>90.3</v>
      </c>
      <c r="P18" s="11">
        <f t="shared" si="0"/>
        <v>53.9</v>
      </c>
    </row>
    <row r="19" spans="1:16">
      <c r="A19" s="5" t="e" vm="18">
        <v>#VALUE!</v>
      </c>
      <c r="B19" s="5">
        <v>621.6</v>
      </c>
      <c r="C19" s="10">
        <f>_xlfn.PERCENTRANK.INC($B$2:$B$33, B19)*100</f>
        <v>57.999999999999993</v>
      </c>
      <c r="D19" s="5">
        <v>6.5</v>
      </c>
      <c r="E19" s="10">
        <f>_xlfn.PERCENTRANK.INC($D$2:$D$33, D19)*100</f>
        <v>38.700000000000003</v>
      </c>
      <c r="F19" s="5">
        <v>88.7</v>
      </c>
      <c r="G19" s="10">
        <f>_xlfn.PERCENTRANK.INC($F$2:$F$33, F19)*100</f>
        <v>9.6</v>
      </c>
      <c r="H19" s="6">
        <v>3469.1</v>
      </c>
      <c r="I19" s="10">
        <f>_xlfn.PERCENTRANK.INC($H$2:$H$33, H19)*100</f>
        <v>61.199999999999996</v>
      </c>
      <c r="J19" s="6">
        <v>1151.7</v>
      </c>
      <c r="K19" s="10">
        <f>_xlfn.PERCENTRANK.INC($J$2:$J$33, J19)*100</f>
        <v>90.3</v>
      </c>
      <c r="L19" s="6">
        <v>2089.1999999999998</v>
      </c>
      <c r="M19" s="10">
        <f>_xlfn.PERCENTRANK.INC($L$2:$L$33, L19)*100</f>
        <v>28.999999999999996</v>
      </c>
      <c r="N19" s="5">
        <v>228.1</v>
      </c>
      <c r="O19" s="10">
        <f>_xlfn.PERCENTRANK.INC($N$2:$N$33, N19)*100</f>
        <v>41.9</v>
      </c>
      <c r="P19" s="11">
        <f t="shared" si="0"/>
        <v>47</v>
      </c>
    </row>
    <row r="20" spans="1:16">
      <c r="A20" s="5" t="e" vm="19">
        <v>#VALUE!</v>
      </c>
      <c r="B20" s="5">
        <v>650.6</v>
      </c>
      <c r="C20" s="10">
        <f>_xlfn.PERCENTRANK.INC($B$2:$B$33, B20)*100</f>
        <v>61.199999999999996</v>
      </c>
      <c r="D20" s="5">
        <v>6.9</v>
      </c>
      <c r="E20" s="10">
        <f>_xlfn.PERCENTRANK.INC($D$2:$D$33, D20)*100</f>
        <v>48.3</v>
      </c>
      <c r="F20" s="5">
        <v>99.3</v>
      </c>
      <c r="G20" s="10">
        <f>_xlfn.PERCENTRANK.INC($F$2:$F$33, F20)*100</f>
        <v>16.100000000000001</v>
      </c>
      <c r="H20" s="6">
        <v>3464</v>
      </c>
      <c r="I20" s="10">
        <f>_xlfn.PERCENTRANK.INC($H$2:$H$33, H20)*100</f>
        <v>54.800000000000004</v>
      </c>
      <c r="J20" s="5">
        <v>627.79999999999995</v>
      </c>
      <c r="K20" s="10">
        <f>_xlfn.PERCENTRANK.INC($J$2:$J$33, J20)*100</f>
        <v>22.5</v>
      </c>
      <c r="L20" s="6">
        <v>2466.4</v>
      </c>
      <c r="M20" s="10">
        <f>_xlfn.PERCENTRANK.INC($L$2:$L$33, L20)*100</f>
        <v>61.199999999999996</v>
      </c>
      <c r="N20" s="5">
        <v>369.8</v>
      </c>
      <c r="O20" s="10">
        <f>_xlfn.PERCENTRANK.INC($N$2:$N$33, N20)*100</f>
        <v>70.899999999999991</v>
      </c>
      <c r="P20" s="11">
        <f t="shared" si="0"/>
        <v>47.9</v>
      </c>
    </row>
    <row r="21" spans="1:16">
      <c r="A21" s="5" t="e" vm="20">
        <v>#VALUE!</v>
      </c>
      <c r="B21" s="5">
        <v>494.3</v>
      </c>
      <c r="C21" s="10">
        <f>_xlfn.PERCENTRANK.INC($B$2:$B$33, B21)*100</f>
        <v>3.2</v>
      </c>
      <c r="D21" s="5">
        <v>8.8000000000000007</v>
      </c>
      <c r="E21" s="10">
        <f>_xlfn.PERCENTRANK.INC($D$2:$D$33, D21)*100</f>
        <v>83.8</v>
      </c>
      <c r="F21" s="5">
        <v>106.6</v>
      </c>
      <c r="G21" s="10">
        <f>_xlfn.PERCENTRANK.INC($F$2:$F$33, F21)*100</f>
        <v>19.3</v>
      </c>
      <c r="H21" s="6">
        <v>3604.3</v>
      </c>
      <c r="I21" s="10">
        <f>_xlfn.PERCENTRANK.INC($H$2:$H$33, H21)*100</f>
        <v>67.7</v>
      </c>
      <c r="J21" s="6">
        <v>1099.2</v>
      </c>
      <c r="K21" s="10">
        <f>_xlfn.PERCENTRANK.INC($J$2:$J$33, J21)*100</f>
        <v>83.8</v>
      </c>
      <c r="L21" s="6">
        <v>2337.6999999999998</v>
      </c>
      <c r="M21" s="10">
        <f>_xlfn.PERCENTRANK.INC($L$2:$L$33, L21)*100</f>
        <v>54.800000000000004</v>
      </c>
      <c r="N21" s="5">
        <v>167.4</v>
      </c>
      <c r="O21" s="10">
        <f>_xlfn.PERCENTRANK.INC($N$2:$N$33, N21)*100</f>
        <v>22.5</v>
      </c>
      <c r="P21" s="11">
        <f t="shared" si="0"/>
        <v>47.9</v>
      </c>
    </row>
    <row r="22" spans="1:16">
      <c r="A22" s="5" t="e" vm="21">
        <v>#VALUE!</v>
      </c>
      <c r="B22" s="5">
        <v>579.70000000000005</v>
      </c>
      <c r="C22" s="10">
        <f>_xlfn.PERCENTRANK.INC($B$2:$B$33, B22)*100</f>
        <v>45.1</v>
      </c>
      <c r="D22" s="5">
        <v>7.9</v>
      </c>
      <c r="E22" s="10">
        <f>_xlfn.PERCENTRANK.INC($D$2:$D$33, D22)*100</f>
        <v>74.099999999999994</v>
      </c>
      <c r="F22" s="5">
        <v>129.69999999999999</v>
      </c>
      <c r="G22" s="10">
        <f>_xlfn.PERCENTRANK.INC($F$2:$F$33, F22)*100</f>
        <v>48.3</v>
      </c>
      <c r="H22" s="6">
        <v>3596.7</v>
      </c>
      <c r="I22" s="10">
        <f>_xlfn.PERCENTRANK.INC($H$2:$H$33, H22)*100</f>
        <v>64.5</v>
      </c>
      <c r="J22" s="5">
        <v>787.9</v>
      </c>
      <c r="K22" s="10">
        <f>_xlfn.PERCENTRANK.INC($J$2:$J$33, J22)*100</f>
        <v>61.199999999999996</v>
      </c>
      <c r="L22" s="6">
        <v>2601.1999999999998</v>
      </c>
      <c r="M22" s="10">
        <f>_xlfn.PERCENTRANK.INC($L$2:$L$33, L22)*100</f>
        <v>74.099999999999994</v>
      </c>
      <c r="N22" s="5">
        <v>207.6</v>
      </c>
      <c r="O22" s="10">
        <f>_xlfn.PERCENTRANK.INC($N$2:$N$33, N22)*100</f>
        <v>35.4</v>
      </c>
      <c r="P22" s="11">
        <f t="shared" si="0"/>
        <v>57.5</v>
      </c>
    </row>
    <row r="23" spans="1:16">
      <c r="A23" s="5" t="e" vm="22">
        <v>#VALUE!</v>
      </c>
      <c r="B23" s="5">
        <v>797.1</v>
      </c>
      <c r="C23" s="10">
        <f>_xlfn.PERCENTRANK.INC($B$2:$B$33, B23)*100</f>
        <v>77.400000000000006</v>
      </c>
      <c r="D23" s="5">
        <v>8.9</v>
      </c>
      <c r="E23" s="10">
        <f>_xlfn.PERCENTRANK.INC($D$2:$D$33, D23)*100</f>
        <v>87</v>
      </c>
      <c r="F23" s="5">
        <v>213.2</v>
      </c>
      <c r="G23" s="10">
        <f>_xlfn.PERCENTRANK.INC($F$2:$F$33, F23)*100</f>
        <v>90.3</v>
      </c>
      <c r="H23" s="6">
        <v>3466.1</v>
      </c>
      <c r="I23" s="10">
        <f>_xlfn.PERCENTRANK.INC($H$2:$H$33, H23)*100</f>
        <v>57.999999999999993</v>
      </c>
      <c r="J23" s="5">
        <v>727.1</v>
      </c>
      <c r="K23" s="10">
        <f>_xlfn.PERCENTRANK.INC($J$2:$J$33, J23)*100</f>
        <v>45.1</v>
      </c>
      <c r="L23" s="6">
        <v>2180</v>
      </c>
      <c r="M23" s="10">
        <f>_xlfn.PERCENTRANK.INC($L$2:$L$33, L23)*100</f>
        <v>38.700000000000003</v>
      </c>
      <c r="N23" s="5">
        <v>559</v>
      </c>
      <c r="O23" s="10">
        <f>_xlfn.PERCENTRANK.INC($N$2:$N$33, N23)*100</f>
        <v>87</v>
      </c>
      <c r="P23" s="11">
        <f t="shared" si="0"/>
        <v>69.099999999999994</v>
      </c>
    </row>
    <row r="24" spans="1:16">
      <c r="A24" s="5" t="e" vm="23">
        <v>#VALUE!</v>
      </c>
      <c r="B24" s="5">
        <v>577.29999999999995</v>
      </c>
      <c r="C24" s="10">
        <f>_xlfn.PERCENTRANK.INC($B$2:$B$33, B24)*100</f>
        <v>41.9</v>
      </c>
      <c r="D24" s="5">
        <v>7.3</v>
      </c>
      <c r="E24" s="10">
        <f>_xlfn.PERCENTRANK.INC($D$2:$D$33, D24)*100</f>
        <v>57.999999999999993</v>
      </c>
      <c r="F24" s="5">
        <v>152.5</v>
      </c>
      <c r="G24" s="10">
        <f>_xlfn.PERCENTRANK.INC($F$2:$F$33, F24)*100</f>
        <v>64.5</v>
      </c>
      <c r="H24" s="6">
        <v>3692.2</v>
      </c>
      <c r="I24" s="10">
        <f>_xlfn.PERCENTRANK.INC($H$2:$H$33, H24)*100</f>
        <v>77.400000000000006</v>
      </c>
      <c r="J24" s="5">
        <v>725.5</v>
      </c>
      <c r="K24" s="10">
        <f>_xlfn.PERCENTRANK.INC($J$2:$J$33, J24)*100</f>
        <v>41.9</v>
      </c>
      <c r="L24" s="6">
        <v>2274.1999999999998</v>
      </c>
      <c r="M24" s="10">
        <f>_xlfn.PERCENTRANK.INC($L$2:$L$33, L24)*100</f>
        <v>48.3</v>
      </c>
      <c r="N24" s="5">
        <v>692.4</v>
      </c>
      <c r="O24" s="10">
        <f>_xlfn.PERCENTRANK.INC($N$2:$N$33, N24)*100</f>
        <v>100</v>
      </c>
      <c r="P24" s="11">
        <f t="shared" si="0"/>
        <v>61.7</v>
      </c>
    </row>
    <row r="25" spans="1:16">
      <c r="A25" s="5" t="e" vm="24">
        <v>#VALUE!</v>
      </c>
      <c r="B25" s="5">
        <v>610.29999999999995</v>
      </c>
      <c r="C25" s="10">
        <f>_xlfn.PERCENTRANK.INC($B$2:$B$33, B25)*100</f>
        <v>51.6</v>
      </c>
      <c r="D25" s="5">
        <v>8</v>
      </c>
      <c r="E25" s="10">
        <f>_xlfn.PERCENTRANK.INC($D$2:$D$33, D25)*100</f>
        <v>77.400000000000006</v>
      </c>
      <c r="F25" s="5">
        <v>197.5</v>
      </c>
      <c r="G25" s="10">
        <f>_xlfn.PERCENTRANK.INC($F$2:$F$33, F25)*100</f>
        <v>83.8</v>
      </c>
      <c r="H25" s="6">
        <v>3670.5</v>
      </c>
      <c r="I25" s="10">
        <f>_xlfn.PERCENTRANK.INC($H$2:$H$33, H25)*100</f>
        <v>74.099999999999994</v>
      </c>
      <c r="J25" s="5">
        <v>534.9</v>
      </c>
      <c r="K25" s="10">
        <f>_xlfn.PERCENTRANK.INC($J$2:$J$33, J25)*100</f>
        <v>12.9</v>
      </c>
      <c r="L25" s="6">
        <v>2811.8</v>
      </c>
      <c r="M25" s="10">
        <f>_xlfn.PERCENTRANK.INC($L$2:$L$33, L25)*100</f>
        <v>83.8</v>
      </c>
      <c r="N25" s="5">
        <v>323.89999999999998</v>
      </c>
      <c r="O25" s="10">
        <f>_xlfn.PERCENTRANK.INC($N$2:$N$33, N25)*100</f>
        <v>61.199999999999996</v>
      </c>
      <c r="P25" s="11">
        <f t="shared" si="0"/>
        <v>63.5</v>
      </c>
    </row>
    <row r="26" spans="1:16">
      <c r="A26" s="5" t="e" vm="25">
        <v>#VALUE!</v>
      </c>
      <c r="B26" s="5">
        <v>818.8</v>
      </c>
      <c r="C26" s="10">
        <f>_xlfn.PERCENTRANK.INC($B$2:$B$33, B26)*100</f>
        <v>83.8</v>
      </c>
      <c r="D26" s="5">
        <v>7.6</v>
      </c>
      <c r="E26" s="10">
        <f>_xlfn.PERCENTRANK.INC($D$2:$D$33, D26)*100</f>
        <v>64.5</v>
      </c>
      <c r="F26" s="5">
        <v>170.9</v>
      </c>
      <c r="G26" s="10">
        <f>_xlfn.PERCENTRANK.INC($F$2:$F$33, F26)*100</f>
        <v>77.400000000000006</v>
      </c>
      <c r="H26" s="6">
        <v>3636.9</v>
      </c>
      <c r="I26" s="10">
        <f>_xlfn.PERCENTRANK.INC($H$2:$H$33, H26)*100</f>
        <v>70.899999999999991</v>
      </c>
      <c r="J26" s="6">
        <v>1008.7</v>
      </c>
      <c r="K26" s="10">
        <f>_xlfn.PERCENTRANK.INC($J$2:$J$33, J26)*100</f>
        <v>80.600000000000009</v>
      </c>
      <c r="L26" s="6">
        <v>2422.3000000000002</v>
      </c>
      <c r="M26" s="10">
        <f>_xlfn.PERCENTRANK.INC($L$2:$L$33, L26)*100</f>
        <v>57.999999999999993</v>
      </c>
      <c r="N26" s="5">
        <v>205.9</v>
      </c>
      <c r="O26" s="10">
        <f>_xlfn.PERCENTRANK.INC($N$2:$N$33, N26)*100</f>
        <v>32.200000000000003</v>
      </c>
      <c r="P26" s="11">
        <f t="shared" si="0"/>
        <v>66.8</v>
      </c>
    </row>
    <row r="27" spans="1:16">
      <c r="A27" s="5" t="e" vm="26">
        <v>#VALUE!</v>
      </c>
      <c r="B27" s="5">
        <v>767.1</v>
      </c>
      <c r="C27" s="10">
        <f>_xlfn.PERCENTRANK.INC($B$2:$B$33, B27)*100</f>
        <v>74.099999999999994</v>
      </c>
      <c r="D27" s="5">
        <v>6.6</v>
      </c>
      <c r="E27" s="10">
        <f>_xlfn.PERCENTRANK.INC($D$2:$D$33, D27)*100</f>
        <v>41.9</v>
      </c>
      <c r="F27" s="5">
        <v>122.3</v>
      </c>
      <c r="G27" s="10">
        <f>_xlfn.PERCENTRANK.INC($F$2:$F$33, F27)*100</f>
        <v>38.700000000000003</v>
      </c>
      <c r="H27" s="6">
        <v>3756.3</v>
      </c>
      <c r="I27" s="10">
        <f>_xlfn.PERCENTRANK.INC($H$2:$H$33, H27)*100</f>
        <v>80.600000000000009</v>
      </c>
      <c r="J27" s="5">
        <v>832.7</v>
      </c>
      <c r="K27" s="10">
        <f>_xlfn.PERCENTRANK.INC($J$2:$J$33, J27)*100</f>
        <v>67.7</v>
      </c>
      <c r="L27" s="6">
        <v>2602.3000000000002</v>
      </c>
      <c r="M27" s="10">
        <f>_xlfn.PERCENTRANK.INC($L$2:$L$33, L27)*100</f>
        <v>77.400000000000006</v>
      </c>
      <c r="N27" s="5">
        <v>321.3</v>
      </c>
      <c r="O27" s="10">
        <f>_xlfn.PERCENTRANK.INC($N$2:$N$33, N27)*100</f>
        <v>57.999999999999993</v>
      </c>
      <c r="P27" s="11">
        <f t="shared" si="0"/>
        <v>62.6</v>
      </c>
    </row>
    <row r="28" spans="1:16">
      <c r="A28" s="5" t="e" vm="27">
        <v>#VALUE!</v>
      </c>
      <c r="B28" s="5">
        <v>667.9</v>
      </c>
      <c r="C28" s="10">
        <f>_xlfn.PERCENTRANK.INC($B$2:$B$33, B28)*100</f>
        <v>64.5</v>
      </c>
      <c r="D28" s="5">
        <v>7.8</v>
      </c>
      <c r="E28" s="10">
        <f>_xlfn.PERCENTRANK.INC($D$2:$D$33, D28)*100</f>
        <v>70.899999999999991</v>
      </c>
      <c r="F28" s="5">
        <v>157.9</v>
      </c>
      <c r="G28" s="10">
        <f>_xlfn.PERCENTRANK.INC($F$2:$F$33, F28)*100</f>
        <v>70.899999999999991</v>
      </c>
      <c r="H28" s="6">
        <v>3894.1</v>
      </c>
      <c r="I28" s="10">
        <f>_xlfn.PERCENTRANK.INC($H$2:$H$33, H28)*100</f>
        <v>83.8</v>
      </c>
      <c r="J28" s="6">
        <v>1099.5999999999999</v>
      </c>
      <c r="K28" s="10">
        <f>_xlfn.PERCENTRANK.INC($J$2:$J$33, J28)*100</f>
        <v>87</v>
      </c>
      <c r="L28" s="6">
        <v>2652.8</v>
      </c>
      <c r="M28" s="10">
        <f>_xlfn.PERCENTRANK.INC($L$2:$L$33, L28)*100</f>
        <v>80.600000000000009</v>
      </c>
      <c r="N28" s="5">
        <v>141.69999999999999</v>
      </c>
      <c r="O28" s="10">
        <f>_xlfn.PERCENTRANK.INC($N$2:$N$33, N28)*100</f>
        <v>9.6</v>
      </c>
      <c r="P28" s="11">
        <f t="shared" si="0"/>
        <v>66.8</v>
      </c>
    </row>
    <row r="29" spans="1:16">
      <c r="A29" s="5" t="e" vm="28">
        <v>#VALUE!</v>
      </c>
      <c r="B29" s="6">
        <v>1070.0999999999999</v>
      </c>
      <c r="C29" s="10">
        <f>_xlfn.PERCENTRANK.INC($B$2:$B$33, B29)*100</f>
        <v>96.7</v>
      </c>
      <c r="D29" s="5">
        <v>7.6</v>
      </c>
      <c r="E29" s="10">
        <f>_xlfn.PERCENTRANK.INC($D$2:$D$33, D29)*100</f>
        <v>64.5</v>
      </c>
      <c r="F29" s="5">
        <v>126.6</v>
      </c>
      <c r="G29" s="10">
        <f>_xlfn.PERCENTRANK.INC($F$2:$F$33, F29)*100</f>
        <v>41.9</v>
      </c>
      <c r="H29" s="6">
        <v>4233.8999999999996</v>
      </c>
      <c r="I29" s="10">
        <f>_xlfn.PERCENTRANK.INC($H$2:$H$33, H29)*100</f>
        <v>87</v>
      </c>
      <c r="J29" s="5">
        <v>801.2</v>
      </c>
      <c r="K29" s="10">
        <f>_xlfn.PERCENTRANK.INC($J$2:$J$33, J29)*100</f>
        <v>64.5</v>
      </c>
      <c r="L29" s="6">
        <v>2937.7</v>
      </c>
      <c r="M29" s="10">
        <f>_xlfn.PERCENTRANK.INC($L$2:$L$33, L29)*100</f>
        <v>87</v>
      </c>
      <c r="N29" s="5">
        <v>495.1</v>
      </c>
      <c r="O29" s="10">
        <f>_xlfn.PERCENTRANK.INC($N$2:$N$33, N29)*100</f>
        <v>83.8</v>
      </c>
      <c r="P29" s="11">
        <f t="shared" si="0"/>
        <v>75.099999999999994</v>
      </c>
    </row>
    <row r="30" spans="1:16">
      <c r="A30" s="5" t="e" vm="29">
        <v>#VALUE!</v>
      </c>
      <c r="B30" s="5">
        <v>825.4</v>
      </c>
      <c r="C30" s="10">
        <f>_xlfn.PERCENTRANK.INC($B$2:$B$33, B30)*100</f>
        <v>87</v>
      </c>
      <c r="D30" s="5">
        <v>5.5</v>
      </c>
      <c r="E30" s="10">
        <f>_xlfn.PERCENTRANK.INC($D$2:$D$33, D30)*100</f>
        <v>19.3</v>
      </c>
      <c r="F30" s="5">
        <v>147.80000000000001</v>
      </c>
      <c r="G30" s="10">
        <f>_xlfn.PERCENTRANK.INC($F$2:$F$33, F30)*100</f>
        <v>61.199999999999996</v>
      </c>
      <c r="H30" s="6">
        <v>4529.3999999999996</v>
      </c>
      <c r="I30" s="10">
        <f>_xlfn.PERCENTRANK.INC($H$2:$H$33, H30)*100</f>
        <v>90.3</v>
      </c>
      <c r="J30" s="5">
        <v>966.8</v>
      </c>
      <c r="K30" s="10">
        <f>_xlfn.PERCENTRANK.INC($J$2:$J$33, J30)*100</f>
        <v>77.400000000000006</v>
      </c>
      <c r="L30" s="6">
        <v>3223.1</v>
      </c>
      <c r="M30" s="10">
        <f>_xlfn.PERCENTRANK.INC($L$2:$L$33, L30)*100</f>
        <v>96.7</v>
      </c>
      <c r="N30" s="5">
        <v>339.6</v>
      </c>
      <c r="O30" s="10">
        <f>_xlfn.PERCENTRANK.INC($N$2:$N$33, N30)*100</f>
        <v>64.5</v>
      </c>
      <c r="P30" s="11">
        <f t="shared" si="0"/>
        <v>70.900000000000006</v>
      </c>
    </row>
    <row r="31" spans="1:16">
      <c r="A31" s="5" t="e" vm="30">
        <v>#VALUE!</v>
      </c>
      <c r="B31" s="5">
        <v>936.4</v>
      </c>
      <c r="C31" s="10">
        <f>_xlfn.PERCENTRANK.INC($B$2:$B$33, B31)*100</f>
        <v>93.5</v>
      </c>
      <c r="D31" s="5">
        <v>6.1</v>
      </c>
      <c r="E31" s="10">
        <f>_xlfn.PERCENTRANK.INC($D$2:$D$33, D31)*100</f>
        <v>32.200000000000003</v>
      </c>
      <c r="F31" s="5">
        <v>206.7</v>
      </c>
      <c r="G31" s="10">
        <f>_xlfn.PERCENTRANK.INC($F$2:$F$33, F31)*100</f>
        <v>87</v>
      </c>
      <c r="H31" s="6">
        <v>4607.8</v>
      </c>
      <c r="I31" s="10">
        <f>_xlfn.PERCENTRANK.INC($H$2:$H$33, H31)*100</f>
        <v>93.5</v>
      </c>
      <c r="J31" s="6">
        <v>1167</v>
      </c>
      <c r="K31" s="10">
        <f>_xlfn.PERCENTRANK.INC($J$2:$J$33, J31)*100</f>
        <v>93.5</v>
      </c>
      <c r="L31" s="6">
        <v>3083.7</v>
      </c>
      <c r="M31" s="10">
        <f>_xlfn.PERCENTRANK.INC($L$2:$L$33, L31)*100</f>
        <v>90.3</v>
      </c>
      <c r="N31" s="5">
        <v>676.9</v>
      </c>
      <c r="O31" s="10">
        <f>_xlfn.PERCENTRANK.INC($N$2:$N$33, N31)*100</f>
        <v>96.7</v>
      </c>
      <c r="P31" s="11">
        <f t="shared" si="0"/>
        <v>83.8</v>
      </c>
    </row>
    <row r="32" spans="1:16">
      <c r="A32" s="5" t="e" vm="31">
        <v>#VALUE!</v>
      </c>
      <c r="B32" s="6">
        <v>1160</v>
      </c>
      <c r="C32" s="10">
        <f>_xlfn.PERCENTRANK.INC($B$2:$B$33, B32)*100</f>
        <v>100</v>
      </c>
      <c r="D32" s="5">
        <v>15.1</v>
      </c>
      <c r="E32" s="10">
        <f>_xlfn.PERCENTRANK.INC($D$2:$D$33, D32)*100</f>
        <v>93.5</v>
      </c>
      <c r="F32" s="5">
        <v>122.2</v>
      </c>
      <c r="G32" s="10">
        <f>_xlfn.PERCENTRANK.INC($F$2:$F$33, F32)*100</f>
        <v>35.4</v>
      </c>
      <c r="H32" s="6">
        <v>4701.8999999999996</v>
      </c>
      <c r="I32" s="10">
        <f>_xlfn.PERCENTRANK.INC($H$2:$H$33, H32)*100</f>
        <v>96.7</v>
      </c>
      <c r="J32" s="6">
        <v>1179.5</v>
      </c>
      <c r="K32" s="10">
        <f>_xlfn.PERCENTRANK.INC($J$2:$J$33, J32)*100</f>
        <v>96.7</v>
      </c>
      <c r="L32" s="6">
        <v>3356</v>
      </c>
      <c r="M32" s="10">
        <f>_xlfn.PERCENTRANK.INC($L$2:$L$33, L32)*100</f>
        <v>100</v>
      </c>
      <c r="N32" s="5">
        <v>166.3</v>
      </c>
      <c r="O32" s="10">
        <f>_xlfn.PERCENTRANK.INC($N$2:$N$33, N32)*100</f>
        <v>19.3</v>
      </c>
      <c r="P32" s="11">
        <f t="shared" si="0"/>
        <v>77.400000000000006</v>
      </c>
    </row>
    <row r="33" spans="1:16">
      <c r="A33" s="5" t="e" vm="32">
        <v>#VALUE!</v>
      </c>
      <c r="B33" s="5">
        <v>815</v>
      </c>
      <c r="C33" s="10">
        <f>_xlfn.PERCENTRANK.INC($B$2:$B$33, B33)*100</f>
        <v>80.600000000000009</v>
      </c>
      <c r="D33" s="5">
        <v>8</v>
      </c>
      <c r="E33" s="10">
        <f>_xlfn.PERCENTRANK.INC($D$2:$D$33, D33)*100</f>
        <v>77.400000000000006</v>
      </c>
      <c r="F33" s="5">
        <v>273</v>
      </c>
      <c r="G33" s="10">
        <f>_xlfn.PERCENTRANK.INC($F$2:$F$33, F33)*100</f>
        <v>100</v>
      </c>
      <c r="H33" s="6">
        <v>5190.6000000000004</v>
      </c>
      <c r="I33" s="10">
        <f>_xlfn.PERCENTRANK.INC($H$2:$H$33, H33)*100</f>
        <v>100</v>
      </c>
      <c r="J33" s="6">
        <v>1392.1</v>
      </c>
      <c r="K33" s="10">
        <f>_xlfn.PERCENTRANK.INC($J$2:$J$33, J33)*100</f>
        <v>100</v>
      </c>
      <c r="L33" s="6">
        <v>3174.8</v>
      </c>
      <c r="M33" s="10">
        <f>_xlfn.PERCENTRANK.INC($L$2:$L$33, L33)*100</f>
        <v>93.5</v>
      </c>
      <c r="N33" s="5">
        <v>623.70000000000005</v>
      </c>
      <c r="O33" s="10">
        <f>_xlfn.PERCENTRANK.INC($N$2:$N$33, N33)*100</f>
        <v>93.5</v>
      </c>
      <c r="P33" s="11">
        <f t="shared" si="0"/>
        <v>92.1</v>
      </c>
    </row>
  </sheetData>
  <conditionalFormatting sqref="A2:P33">
    <cfRule type="expression" dxfId="35" priority="1">
      <formula>$P2&lt;50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workbookViewId="0">
      <pane ySplit="1" topLeftCell="A2" activePane="bottomLeft" state="frozen"/>
      <selection pane="bottomLeft"/>
    </sheetView>
  </sheetViews>
  <sheetFormatPr defaultRowHeight="15"/>
  <cols>
    <col min="1" max="1" width="6.28515625" bestFit="1" customWidth="1"/>
    <col min="2" max="2" width="7.7109375" bestFit="1" customWidth="1"/>
    <col min="3" max="3" width="44.5703125" bestFit="1" customWidth="1"/>
    <col min="4" max="4" width="23.7109375" bestFit="1" customWidth="1"/>
    <col min="5" max="5" width="21.7109375" bestFit="1" customWidth="1"/>
    <col min="6" max="6" width="17.5703125" bestFit="1" customWidth="1"/>
    <col min="7" max="7" width="20" bestFit="1" customWidth="1"/>
    <col min="8" max="8" width="15.42578125" bestFit="1" customWidth="1"/>
    <col min="9" max="9" width="77.85546875" bestFit="1" customWidth="1"/>
    <col min="13" max="13" width="8.28515625" bestFit="1" customWidth="1"/>
  </cols>
  <sheetData>
    <row r="1" spans="1:9" s="7" customFormat="1">
      <c r="A1" s="3" t="s">
        <v>16</v>
      </c>
      <c r="B1" s="3" t="s">
        <v>17</v>
      </c>
      <c r="C1" s="3" t="s">
        <v>18</v>
      </c>
      <c r="D1" s="3" t="s">
        <v>0</v>
      </c>
      <c r="E1" s="3" t="s">
        <v>19</v>
      </c>
      <c r="F1" s="3" t="s">
        <v>20</v>
      </c>
      <c r="G1" s="3" t="s">
        <v>21</v>
      </c>
      <c r="H1" s="3" t="s">
        <v>22</v>
      </c>
      <c r="I1" s="3" t="s">
        <v>23</v>
      </c>
    </row>
    <row r="2" spans="1:9">
      <c r="A2" s="1">
        <v>10023</v>
      </c>
      <c r="B2" s="1">
        <v>5</v>
      </c>
      <c r="C2" s="1" t="s">
        <v>24</v>
      </c>
      <c r="D2" s="1" t="e" vm="31">
        <v>#VALUE!</v>
      </c>
      <c r="E2" s="1" t="s">
        <v>25</v>
      </c>
      <c r="F2" s="1">
        <v>7</v>
      </c>
      <c r="G2" s="1">
        <v>8</v>
      </c>
      <c r="H2" s="1">
        <v>5</v>
      </c>
      <c r="I2" s="2" t="s">
        <v>26</v>
      </c>
    </row>
    <row r="3" spans="1:9">
      <c r="A3" s="1">
        <v>10034</v>
      </c>
      <c r="B3" s="1">
        <v>6</v>
      </c>
      <c r="C3" s="1" t="s">
        <v>27</v>
      </c>
      <c r="D3" s="1" t="e" vm="28">
        <v>#VALUE!</v>
      </c>
      <c r="E3" s="1" t="s">
        <v>28</v>
      </c>
      <c r="F3" s="1">
        <v>9</v>
      </c>
      <c r="G3" s="1">
        <v>8</v>
      </c>
      <c r="H3" s="1">
        <v>9</v>
      </c>
      <c r="I3" s="2" t="s">
        <v>29</v>
      </c>
    </row>
    <row r="4" spans="1:9">
      <c r="A4" s="1">
        <v>10294</v>
      </c>
      <c r="B4" s="1">
        <v>7</v>
      </c>
      <c r="C4" s="1" t="s">
        <v>30</v>
      </c>
      <c r="D4" s="1" t="e" vm="30">
        <v>#VALUE!</v>
      </c>
      <c r="E4" s="1" t="s">
        <v>31</v>
      </c>
      <c r="F4" s="1">
        <v>6</v>
      </c>
      <c r="G4" s="1">
        <v>7</v>
      </c>
      <c r="H4" s="1">
        <v>7</v>
      </c>
      <c r="I4" s="2" t="s">
        <v>32</v>
      </c>
    </row>
    <row r="5" spans="1:9">
      <c r="A5" s="1">
        <v>10388</v>
      </c>
      <c r="B5" s="1">
        <v>10</v>
      </c>
      <c r="C5" s="1" t="s">
        <v>33</v>
      </c>
      <c r="D5" s="1" t="e" vm="11">
        <v>#VALUE!</v>
      </c>
      <c r="E5" s="1" t="s">
        <v>34</v>
      </c>
      <c r="F5" s="1">
        <v>5</v>
      </c>
      <c r="G5" s="1">
        <v>6</v>
      </c>
      <c r="H5" s="1">
        <v>7</v>
      </c>
      <c r="I5" s="2" t="s">
        <v>35</v>
      </c>
    </row>
    <row r="6" spans="1:9">
      <c r="A6" s="1">
        <v>10524</v>
      </c>
      <c r="B6" s="1">
        <v>12</v>
      </c>
      <c r="C6" s="1" t="s">
        <v>36</v>
      </c>
      <c r="D6" s="1" t="e" vm="29">
        <v>#VALUE!</v>
      </c>
      <c r="E6" s="1" t="s">
        <v>37</v>
      </c>
      <c r="F6" s="1">
        <v>6</v>
      </c>
      <c r="G6" s="1">
        <v>4</v>
      </c>
      <c r="H6" s="1">
        <v>6</v>
      </c>
      <c r="I6" s="2" t="s">
        <v>38</v>
      </c>
    </row>
    <row r="7" spans="1:9">
      <c r="A7" s="1">
        <v>10659</v>
      </c>
      <c r="B7" s="1">
        <v>13</v>
      </c>
      <c r="C7" s="1" t="s">
        <v>39</v>
      </c>
      <c r="D7" s="1" t="e" vm="25">
        <v>#VALUE!</v>
      </c>
      <c r="E7" s="1" t="s">
        <v>40</v>
      </c>
      <c r="F7" s="1">
        <v>4</v>
      </c>
      <c r="G7" s="1">
        <v>5</v>
      </c>
      <c r="I7" s="2" t="s">
        <v>41</v>
      </c>
    </row>
    <row r="8" spans="1:9">
      <c r="A8" s="1">
        <v>10795</v>
      </c>
      <c r="B8" s="1">
        <v>14</v>
      </c>
      <c r="C8" s="1" t="s">
        <v>42</v>
      </c>
      <c r="D8" s="1" t="e" vm="33">
        <v>#VALUE!</v>
      </c>
      <c r="E8" s="1" t="s">
        <v>31</v>
      </c>
      <c r="F8" s="1">
        <v>4</v>
      </c>
      <c r="G8" s="1">
        <v>7</v>
      </c>
      <c r="H8" s="1">
        <v>-4</v>
      </c>
      <c r="I8" s="2" t="s">
        <v>43</v>
      </c>
    </row>
    <row r="9" spans="1:9">
      <c r="A9" s="1">
        <v>10930</v>
      </c>
      <c r="B9" s="1">
        <v>16</v>
      </c>
      <c r="C9" s="1" t="s">
        <v>44</v>
      </c>
      <c r="D9" s="1" t="e" vm="22">
        <v>#VALUE!</v>
      </c>
      <c r="E9" s="1" t="s">
        <v>31</v>
      </c>
      <c r="F9" s="1">
        <v>4</v>
      </c>
      <c r="G9" s="1">
        <v>-6</v>
      </c>
      <c r="H9" s="1">
        <v>0</v>
      </c>
      <c r="I9" s="2" t="s">
        <v>45</v>
      </c>
    </row>
    <row r="10" spans="1:9">
      <c r="A10" s="1">
        <v>11066</v>
      </c>
      <c r="B10" s="1">
        <v>18</v>
      </c>
      <c r="C10" s="1" t="s">
        <v>46</v>
      </c>
      <c r="D10" s="1" t="e" vm="30">
        <v>#VALUE!</v>
      </c>
      <c r="E10" s="1" t="s">
        <v>47</v>
      </c>
      <c r="F10" s="1">
        <v>4</v>
      </c>
      <c r="G10" s="1">
        <v>7</v>
      </c>
      <c r="H10" s="1">
        <v>9</v>
      </c>
      <c r="I10" s="2" t="s">
        <v>48</v>
      </c>
    </row>
    <row r="11" spans="1:9">
      <c r="A11" s="1">
        <v>11201</v>
      </c>
      <c r="B11" s="1">
        <v>19</v>
      </c>
      <c r="C11" s="1" t="s">
        <v>49</v>
      </c>
      <c r="D11" s="1" t="e" vm="26">
        <v>#VALUE!</v>
      </c>
      <c r="E11" s="1" t="s">
        <v>34</v>
      </c>
      <c r="F11" s="1">
        <v>9</v>
      </c>
      <c r="G11" s="1">
        <v>7</v>
      </c>
      <c r="H11" s="1">
        <v>9</v>
      </c>
      <c r="I11" s="2" t="s">
        <v>50</v>
      </c>
    </row>
    <row r="12" spans="1:9">
      <c r="A12" s="1">
        <v>11337</v>
      </c>
      <c r="B12" s="1">
        <v>20</v>
      </c>
      <c r="C12" s="1" t="s">
        <v>51</v>
      </c>
      <c r="D12" s="1" t="e" vm="25">
        <v>#VALUE!</v>
      </c>
      <c r="E12" s="1" t="s">
        <v>47</v>
      </c>
      <c r="F12" s="1">
        <v>6</v>
      </c>
      <c r="G12" s="1">
        <v>-6</v>
      </c>
      <c r="H12" s="1">
        <v>7</v>
      </c>
      <c r="I12" s="2" t="s">
        <v>52</v>
      </c>
    </row>
    <row r="13" spans="1:9">
      <c r="A13" s="1">
        <v>11472</v>
      </c>
      <c r="B13" s="1">
        <v>22</v>
      </c>
      <c r="C13" s="1" t="s">
        <v>53</v>
      </c>
      <c r="D13" s="1" t="e" vm="13">
        <v>#VALUE!</v>
      </c>
      <c r="E13" s="1" t="s">
        <v>37</v>
      </c>
      <c r="F13" s="1">
        <v>5</v>
      </c>
      <c r="G13" s="1">
        <v>6</v>
      </c>
      <c r="I13" s="2" t="s">
        <v>54</v>
      </c>
    </row>
    <row r="14" spans="1:9">
      <c r="A14" s="1">
        <v>11608</v>
      </c>
      <c r="B14" s="1">
        <v>23</v>
      </c>
      <c r="C14" s="1" t="s">
        <v>55</v>
      </c>
      <c r="D14" s="1" t="e" vm="10">
        <v>#VALUE!</v>
      </c>
      <c r="E14" s="1">
        <v>0</v>
      </c>
      <c r="F14" s="1">
        <v>6</v>
      </c>
      <c r="G14" s="1">
        <v>6</v>
      </c>
      <c r="H14" s="1">
        <v>8</v>
      </c>
      <c r="I14" s="2" t="s">
        <v>56</v>
      </c>
    </row>
    <row r="15" spans="1:9">
      <c r="A15" s="1">
        <v>11743</v>
      </c>
      <c r="B15" s="1">
        <v>24</v>
      </c>
      <c r="C15" s="1" t="s">
        <v>57</v>
      </c>
      <c r="D15" s="1" t="e" vm="27">
        <v>#VALUE!</v>
      </c>
      <c r="E15" s="1" t="s">
        <v>28</v>
      </c>
      <c r="F15" s="1">
        <v>4</v>
      </c>
      <c r="G15" s="1">
        <v>6</v>
      </c>
      <c r="H15" s="1">
        <v>8</v>
      </c>
      <c r="I15" s="2" t="s">
        <v>58</v>
      </c>
    </row>
    <row r="16" spans="1:9">
      <c r="A16" s="1">
        <v>11879</v>
      </c>
      <c r="B16" s="1">
        <v>26</v>
      </c>
      <c r="C16" s="1" t="s">
        <v>59</v>
      </c>
      <c r="D16" s="1" t="e" vm="19">
        <v>#VALUE!</v>
      </c>
      <c r="E16" s="1" t="s">
        <v>37</v>
      </c>
      <c r="F16" s="1">
        <v>8</v>
      </c>
      <c r="G16" s="1">
        <v>-7</v>
      </c>
      <c r="H16" s="1">
        <v>5</v>
      </c>
      <c r="I16" s="2" t="s">
        <v>60</v>
      </c>
    </row>
    <row r="17" spans="1:9">
      <c r="A17" s="1">
        <v>12014</v>
      </c>
      <c r="B17" s="1">
        <v>29</v>
      </c>
      <c r="C17" s="1" t="s">
        <v>61</v>
      </c>
      <c r="D17" s="1" t="e" vm="18">
        <v>#VALUE!</v>
      </c>
      <c r="E17" s="1" t="s">
        <v>28</v>
      </c>
      <c r="F17" s="1">
        <v>8</v>
      </c>
      <c r="G17" s="1">
        <v>5</v>
      </c>
      <c r="H17" s="1">
        <v>-7</v>
      </c>
      <c r="I17" s="2" t="s">
        <v>62</v>
      </c>
    </row>
    <row r="18" spans="1:9">
      <c r="A18" s="1">
        <v>12285</v>
      </c>
      <c r="B18" s="1">
        <v>31</v>
      </c>
      <c r="C18" s="1" t="s">
        <v>63</v>
      </c>
      <c r="D18" s="1" t="e" vm="4">
        <v>#VALUE!</v>
      </c>
      <c r="E18" s="1" t="s">
        <v>64</v>
      </c>
      <c r="F18" s="1">
        <v>9</v>
      </c>
      <c r="G18" s="1">
        <v>9</v>
      </c>
      <c r="H18" s="1">
        <v>9</v>
      </c>
      <c r="I18" s="2" t="s">
        <v>65</v>
      </c>
    </row>
    <row r="19" spans="1:9">
      <c r="A19" s="1">
        <v>12827</v>
      </c>
      <c r="B19" s="1">
        <v>42</v>
      </c>
      <c r="C19" s="1" t="s">
        <v>66</v>
      </c>
      <c r="D19" s="1" t="e" vm="23">
        <v>#VALUE!</v>
      </c>
      <c r="E19" s="1" t="s">
        <v>25</v>
      </c>
      <c r="F19" s="1">
        <v>8</v>
      </c>
      <c r="G19" s="1">
        <v>-7</v>
      </c>
      <c r="H19" s="1">
        <v>5</v>
      </c>
      <c r="I19" s="2" t="s">
        <v>67</v>
      </c>
    </row>
    <row r="20" spans="1:9">
      <c r="A20" s="1">
        <v>12421</v>
      </c>
      <c r="B20" s="1">
        <v>34</v>
      </c>
      <c r="C20" s="1" t="s">
        <v>68</v>
      </c>
      <c r="D20" s="1" t="e" vm="24">
        <v>#VALUE!</v>
      </c>
      <c r="E20" s="1">
        <v>0</v>
      </c>
      <c r="F20" s="1">
        <v>6</v>
      </c>
      <c r="G20" s="1">
        <v>8</v>
      </c>
      <c r="H20" s="1">
        <v>7</v>
      </c>
      <c r="I20" s="2" t="s">
        <v>69</v>
      </c>
    </row>
    <row r="21" spans="1:9">
      <c r="A21" s="1">
        <v>12556</v>
      </c>
      <c r="B21" s="1">
        <v>36</v>
      </c>
      <c r="C21" s="1" t="s">
        <v>70</v>
      </c>
      <c r="D21" s="1" t="e" vm="14">
        <v>#VALUE!</v>
      </c>
      <c r="E21" s="1" t="s">
        <v>71</v>
      </c>
      <c r="F21" s="1">
        <v>6</v>
      </c>
      <c r="G21" s="1">
        <v>6</v>
      </c>
      <c r="H21" s="1">
        <v>8</v>
      </c>
      <c r="I21" s="2" t="s">
        <v>72</v>
      </c>
    </row>
    <row r="22" spans="1:9">
      <c r="A22" s="1">
        <v>12692</v>
      </c>
      <c r="B22" s="1">
        <v>40</v>
      </c>
      <c r="C22" s="1" t="s">
        <v>73</v>
      </c>
      <c r="D22" s="1" t="e" vm="21">
        <v>#VALUE!</v>
      </c>
      <c r="F22" s="1">
        <v>4</v>
      </c>
      <c r="G22" s="1">
        <v>6</v>
      </c>
      <c r="H22" s="1">
        <v>8</v>
      </c>
      <c r="I22" s="2" t="s">
        <v>74</v>
      </c>
    </row>
    <row r="23" spans="1:9">
      <c r="A23" s="1">
        <v>84321</v>
      </c>
      <c r="B23" s="1">
        <v>1083</v>
      </c>
      <c r="C23" s="1" t="s">
        <v>75</v>
      </c>
      <c r="D23" s="1" t="e" vm="32">
        <v>#VALUE!</v>
      </c>
      <c r="E23" s="1" t="s">
        <v>76</v>
      </c>
      <c r="I23" s="2" t="s">
        <v>77</v>
      </c>
    </row>
    <row r="24" spans="1:9">
      <c r="A24" s="1">
        <v>12963</v>
      </c>
      <c r="B24" s="1">
        <v>43</v>
      </c>
      <c r="C24" s="1" t="s">
        <v>78</v>
      </c>
      <c r="D24" s="1" t="e" vm="13">
        <v>#VALUE!</v>
      </c>
      <c r="E24" s="1" t="s">
        <v>79</v>
      </c>
      <c r="F24" s="1">
        <v>8</v>
      </c>
      <c r="G24" s="1">
        <v>5</v>
      </c>
      <c r="H24" s="1">
        <v>-7</v>
      </c>
      <c r="I24" s="2" t="s">
        <v>80</v>
      </c>
    </row>
    <row r="25" spans="1:9">
      <c r="A25" s="1">
        <v>13098</v>
      </c>
      <c r="B25" s="1">
        <v>46</v>
      </c>
      <c r="C25" s="1" t="s">
        <v>81</v>
      </c>
      <c r="D25" s="1" t="e" vm="5">
        <v>#VALUE!</v>
      </c>
      <c r="E25" s="1">
        <v>0</v>
      </c>
      <c r="I25" s="2" t="s">
        <v>82</v>
      </c>
    </row>
    <row r="26" spans="1:9">
      <c r="A26" s="1">
        <v>13234</v>
      </c>
      <c r="B26" s="1">
        <v>47</v>
      </c>
      <c r="C26" s="1" t="s">
        <v>83</v>
      </c>
      <c r="D26" s="1" t="e" vm="17">
        <v>#VALUE!</v>
      </c>
      <c r="E26" s="1">
        <v>0</v>
      </c>
      <c r="I26" s="2" t="s">
        <v>84</v>
      </c>
    </row>
    <row r="27" spans="1:9">
      <c r="A27" s="1">
        <v>13369</v>
      </c>
      <c r="B27" s="1">
        <v>49</v>
      </c>
      <c r="C27" s="1" t="s">
        <v>85</v>
      </c>
      <c r="D27" s="1" t="e" vm="16">
        <v>#VALUE!</v>
      </c>
      <c r="E27" s="1">
        <v>0</v>
      </c>
      <c r="I27" s="2" t="s">
        <v>86</v>
      </c>
    </row>
    <row r="28" spans="1:9">
      <c r="A28" s="1">
        <v>13505</v>
      </c>
      <c r="B28" s="1">
        <v>51</v>
      </c>
      <c r="C28" s="1" t="s">
        <v>87</v>
      </c>
      <c r="D28" s="1" t="e" vm="34">
        <v>#VALUE!</v>
      </c>
      <c r="E28" s="1">
        <v>0</v>
      </c>
      <c r="I28" s="2" t="s">
        <v>88</v>
      </c>
    </row>
    <row r="29" spans="1:9">
      <c r="A29" s="1">
        <v>13640</v>
      </c>
      <c r="B29" s="1">
        <v>53</v>
      </c>
      <c r="C29" s="1" t="s">
        <v>89</v>
      </c>
      <c r="D29" s="1" t="e" vm="15">
        <v>#VALUE!</v>
      </c>
      <c r="E29" s="1">
        <v>0</v>
      </c>
      <c r="I29" s="2" t="s">
        <v>90</v>
      </c>
    </row>
    <row r="30" spans="1:9">
      <c r="A30" s="1">
        <v>13776</v>
      </c>
      <c r="B30" s="1">
        <v>57</v>
      </c>
      <c r="C30" s="1" t="s">
        <v>91</v>
      </c>
      <c r="D30" s="1" t="e" vm="9">
        <v>#VALUE!</v>
      </c>
      <c r="E30" s="1">
        <v>0</v>
      </c>
      <c r="I30" s="2" t="s">
        <v>92</v>
      </c>
    </row>
    <row r="31" spans="1:9">
      <c r="A31" s="1">
        <v>13911</v>
      </c>
      <c r="B31" s="1">
        <v>61</v>
      </c>
      <c r="C31" s="1" t="s">
        <v>93</v>
      </c>
      <c r="D31" s="1" t="e" vm="2">
        <v>#VALUE!</v>
      </c>
      <c r="E31" s="1">
        <v>0</v>
      </c>
      <c r="I31" s="2" t="s">
        <v>94</v>
      </c>
    </row>
    <row r="32" spans="1:9">
      <c r="A32" s="1">
        <v>14047</v>
      </c>
      <c r="B32" s="1">
        <v>62</v>
      </c>
      <c r="C32" s="1" t="s">
        <v>95</v>
      </c>
      <c r="D32" s="1" t="e" vm="6">
        <v>#VALUE!</v>
      </c>
      <c r="E32" s="1">
        <v>0</v>
      </c>
      <c r="I32" s="2" t="s">
        <v>96</v>
      </c>
    </row>
  </sheetData>
  <sortState xmlns:xlrd2="http://schemas.microsoft.com/office/spreadsheetml/2017/richdata2" ref="A2:I32">
    <sortCondition ref="B2:B32"/>
  </sortState>
  <dataValidations count="1">
    <dataValidation type="whole" allowBlank="1" showInputMessage="1" showErrorMessage="1" sqref="F2:F22" xr:uid="{69BC62DF-FE94-4022-B837-DB17F79F9538}">
      <formula1>0</formula1>
      <formula2>10000</formula2>
    </dataValidation>
  </dataValidations>
  <hyperlinks>
    <hyperlink ref="I2" r:id="rId1" xr:uid="{B80DAB16-63F5-4B68-BF07-52D9992958E8}"/>
    <hyperlink ref="I3" r:id="rId2" xr:uid="{55409A7E-7947-4103-AA36-F622A895F394}"/>
    <hyperlink ref="I4" r:id="rId3" xr:uid="{BD003016-2EA3-48DD-8C4B-80A7D8DA23C1}"/>
    <hyperlink ref="I5" r:id="rId4" xr:uid="{D828D85C-BBB4-40D7-A503-5F753BA28354}"/>
    <hyperlink ref="I6" r:id="rId5" xr:uid="{27DF5B46-C346-4B12-8834-667985DAFA80}"/>
    <hyperlink ref="I7" r:id="rId6" xr:uid="{D4955BB6-FB7F-455E-B8B8-934FA2139259}"/>
    <hyperlink ref="I8" r:id="rId7" xr:uid="{B86674F0-8517-4FAF-8151-38C03A6A6F0E}"/>
    <hyperlink ref="I9" r:id="rId8" xr:uid="{4ED394CF-97D3-4E16-8949-0354A77B0D32}"/>
    <hyperlink ref="I10" r:id="rId9" xr:uid="{D1519155-34F8-4392-BF1B-F26812D4E3AB}"/>
    <hyperlink ref="I11" r:id="rId10" xr:uid="{72A77F3B-3400-421E-937C-C78EDFFAC820}"/>
    <hyperlink ref="I12" r:id="rId11" xr:uid="{BD2A3C55-7186-42D4-90E9-7099798D116A}"/>
    <hyperlink ref="I13" r:id="rId12" xr:uid="{93FA84D0-C2F1-47BC-9891-5DF6BF8B18C7}"/>
    <hyperlink ref="I14" r:id="rId13" xr:uid="{C84C370D-22D6-451F-A68A-49CF7ADC3F07}"/>
    <hyperlink ref="I15" r:id="rId14" xr:uid="{2A56E2D0-9ABC-4F95-A1FC-335FFBAB982A}"/>
    <hyperlink ref="I16" r:id="rId15" xr:uid="{6908A970-6EA6-408D-BEF0-C12B825266CE}"/>
    <hyperlink ref="I17" r:id="rId16" xr:uid="{D83B550C-AC4E-48E1-B51F-10F8D9F3D4E9}"/>
    <hyperlink ref="I23" r:id="rId17" xr:uid="{BCF53E16-8E63-43F7-A110-27FB927912E0}"/>
    <hyperlink ref="I18" r:id="rId18" xr:uid="{94F9E763-28D9-4BE5-A821-6B1197399105}"/>
    <hyperlink ref="I20" r:id="rId19" xr:uid="{A9F598E9-547A-4340-B9D6-E1C661ABD478}"/>
    <hyperlink ref="I21" r:id="rId20" xr:uid="{F4060B9C-8579-4BFF-86AB-266815498F22}"/>
    <hyperlink ref="I22" r:id="rId21" xr:uid="{273560A9-0CF2-48C0-A0EB-5C530ECEBE8B}"/>
    <hyperlink ref="I19" r:id="rId22" xr:uid="{2F451ECB-96F8-4249-B304-AAEE7B97159F}"/>
    <hyperlink ref="I24" r:id="rId23" xr:uid="{99A81215-202A-4396-AD3C-0648F2D9C725}"/>
    <hyperlink ref="I25" r:id="rId24" xr:uid="{D52935E3-AD5F-4278-96C4-15410728EC89}"/>
    <hyperlink ref="I26" r:id="rId25" xr:uid="{ADC08471-364C-4EC0-93D9-61F9172F00A7}"/>
    <hyperlink ref="I27" r:id="rId26" xr:uid="{3DAF9136-8E94-416A-AF9D-3CC82E37655B}"/>
    <hyperlink ref="I28" r:id="rId27" xr:uid="{245CFDDA-2911-4B2E-ADCF-54275A20D72F}"/>
    <hyperlink ref="I29" r:id="rId28" xr:uid="{7FABA10B-9B91-46D1-87D2-D3C11BE436F2}"/>
    <hyperlink ref="I30" r:id="rId29" xr:uid="{4BD93430-4FDB-42DF-B5FA-A01C2F67593C}"/>
    <hyperlink ref="I31" r:id="rId30" xr:uid="{806A0F72-6344-4727-9025-D83B92D2AF5A}"/>
    <hyperlink ref="I32" r:id="rId31" xr:uid="{6FDD0F5E-E41E-4758-AB53-B01E98C4A720}"/>
  </hyperlinks>
  <pageMargins left="0.7" right="0.7" top="0.75" bottom="0.75" header="0.3" footer="0.3"/>
  <tableParts count="1">
    <tablePart r:id="rId3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C5C1D-82B2-4843-ACD8-0695F1B189E9}">
  <dimension ref="A1:E11"/>
  <sheetViews>
    <sheetView tabSelected="1" workbookViewId="0">
      <selection activeCell="E11" sqref="A1:E11"/>
    </sheetView>
  </sheetViews>
  <sheetFormatPr defaultRowHeight="15"/>
  <cols>
    <col min="1" max="1" width="7.7109375" style="21" bestFit="1" customWidth="1"/>
    <col min="2" max="2" width="44.5703125" style="21" bestFit="1" customWidth="1"/>
    <col min="3" max="3" width="22.42578125" style="21" bestFit="1" customWidth="1"/>
    <col min="4" max="4" width="21.7109375" style="21" bestFit="1" customWidth="1"/>
    <col min="5" max="5" width="22.28515625" style="21" bestFit="1" customWidth="1"/>
  </cols>
  <sheetData>
    <row r="1" spans="1:5">
      <c r="A1" s="22" t="s">
        <v>17</v>
      </c>
      <c r="B1" s="23" t="s">
        <v>18</v>
      </c>
      <c r="C1" s="23" t="s">
        <v>0</v>
      </c>
      <c r="D1" s="23" t="s">
        <v>19</v>
      </c>
      <c r="E1" s="24" t="s">
        <v>15</v>
      </c>
    </row>
    <row r="2" spans="1:5">
      <c r="A2" s="17">
        <v>31</v>
      </c>
      <c r="B2" s="8" t="s">
        <v>63</v>
      </c>
      <c r="C2" s="8" t="e" vm="4">
        <v>#VALUE!</v>
      </c>
      <c r="D2" s="8" t="s">
        <v>64</v>
      </c>
      <c r="E2" s="19">
        <f>_xlfn.XLOOKUP(C2, Crime!A:A, Crime!P:P)</f>
        <v>23.5</v>
      </c>
    </row>
    <row r="3" spans="1:5">
      <c r="A3" s="17">
        <v>29</v>
      </c>
      <c r="B3" s="8" t="s">
        <v>61</v>
      </c>
      <c r="C3" s="8" t="e" vm="18">
        <v>#VALUE!</v>
      </c>
      <c r="D3" s="8" t="s">
        <v>28</v>
      </c>
      <c r="E3" s="19">
        <f>_xlfn.XLOOKUP(C3, Crime!A:A, Crime!P:P)</f>
        <v>47</v>
      </c>
    </row>
    <row r="4" spans="1:5">
      <c r="A4" s="18">
        <v>42</v>
      </c>
      <c r="B4" s="5" t="s">
        <v>66</v>
      </c>
      <c r="C4" s="5" t="e" vm="23">
        <v>#VALUE!</v>
      </c>
      <c r="D4" s="5" t="s">
        <v>25</v>
      </c>
      <c r="E4" s="20">
        <f>_xlfn.XLOOKUP(C4, Crime!A:A, Crime!P:P)</f>
        <v>61.7</v>
      </c>
    </row>
    <row r="5" spans="1:5">
      <c r="A5" s="17">
        <v>13</v>
      </c>
      <c r="B5" s="8" t="s">
        <v>39</v>
      </c>
      <c r="C5" s="8" t="e" vm="25">
        <v>#VALUE!</v>
      </c>
      <c r="D5" s="8" t="s">
        <v>40</v>
      </c>
      <c r="E5" s="19">
        <f>_xlfn.XLOOKUP(C5, Crime!A:A, Crime!P:P)</f>
        <v>66.8</v>
      </c>
    </row>
    <row r="6" spans="1:5">
      <c r="A6" s="17">
        <v>20</v>
      </c>
      <c r="B6" s="8" t="s">
        <v>51</v>
      </c>
      <c r="C6" s="8" t="e" vm="25">
        <v>#VALUE!</v>
      </c>
      <c r="D6" s="8" t="s">
        <v>47</v>
      </c>
      <c r="E6" s="19">
        <f>_xlfn.XLOOKUP(C6, Crime!A:A, Crime!P:P)</f>
        <v>66.8</v>
      </c>
    </row>
    <row r="7" spans="1:5">
      <c r="A7" s="17">
        <v>24</v>
      </c>
      <c r="B7" s="8" t="s">
        <v>57</v>
      </c>
      <c r="C7" s="8" t="e" vm="27">
        <v>#VALUE!</v>
      </c>
      <c r="D7" s="8" t="s">
        <v>28</v>
      </c>
      <c r="E7" s="19">
        <f>_xlfn.XLOOKUP(C7, Crime!A:A, Crime!P:P)</f>
        <v>66.8</v>
      </c>
    </row>
    <row r="8" spans="1:5">
      <c r="A8" s="17">
        <v>6</v>
      </c>
      <c r="B8" s="8" t="s">
        <v>27</v>
      </c>
      <c r="C8" s="8" t="e" vm="28">
        <v>#VALUE!</v>
      </c>
      <c r="D8" s="8" t="s">
        <v>28</v>
      </c>
      <c r="E8" s="19">
        <f>_xlfn.XLOOKUP(C8, Crime!A:A, Crime!P:P)</f>
        <v>75.099999999999994</v>
      </c>
    </row>
    <row r="9" spans="1:5">
      <c r="A9" s="17">
        <v>5</v>
      </c>
      <c r="B9" s="8" t="s">
        <v>24</v>
      </c>
      <c r="C9" s="8" t="e" vm="31">
        <v>#VALUE!</v>
      </c>
      <c r="D9" s="8" t="s">
        <v>25</v>
      </c>
      <c r="E9" s="19">
        <f>_xlfn.XLOOKUP(C9, Crime!A:A, Crime!P:P)</f>
        <v>77.400000000000006</v>
      </c>
    </row>
    <row r="10" spans="1:5">
      <c r="A10" s="17">
        <v>18</v>
      </c>
      <c r="B10" s="8" t="s">
        <v>46</v>
      </c>
      <c r="C10" s="8" t="e" vm="30">
        <v>#VALUE!</v>
      </c>
      <c r="D10" s="8" t="s">
        <v>47</v>
      </c>
      <c r="E10" s="19">
        <f>_xlfn.XLOOKUP(C10, Crime!A:A, Crime!P:P)</f>
        <v>83.8</v>
      </c>
    </row>
    <row r="11" spans="1:5">
      <c r="A11" s="18">
        <v>1083</v>
      </c>
      <c r="B11" s="5" t="s">
        <v>75</v>
      </c>
      <c r="C11" s="5" t="e" vm="32">
        <v>#VALUE!</v>
      </c>
      <c r="D11" s="5" t="s">
        <v>76</v>
      </c>
      <c r="E11" s="20">
        <f>_xlfn.XLOOKUP(C11, Crime!A:A, Crime!P:P)</f>
        <v>92.1</v>
      </c>
    </row>
  </sheetData>
  <sortState xmlns:xlrd2="http://schemas.microsoft.com/office/spreadsheetml/2017/richdata2" ref="A2:E11">
    <sortCondition ref="E2:E11"/>
    <sortCondition ref="A2:A11"/>
  </sortState>
  <conditionalFormatting sqref="A2:E11">
    <cfRule type="expression" dxfId="9" priority="1">
      <formula>AND($E2&lt;70,$A2&lt;40)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2026-07-07T18:09:09Z</dcterms:created>
  <dcterms:modified xsi:type="dcterms:W3CDTF">2026-07-07T18:24:18Z</dcterms:modified>
  <cp:category/>
  <cp:contentStatus/>
</cp:coreProperties>
</file>